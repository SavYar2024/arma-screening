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Аркуш3" sheetId="2" state="visible" r:id="rId2"/>
    <sheet xmlns:r="http://schemas.openxmlformats.org/officeDocument/2006/relationships" name="Аркуш2" sheetId="3" state="visible" r:id="rId3"/>
  </sheets>
  <definedNames>
    <definedName name="_xlnm._FilterDatabase" localSheetId="0" hidden="1">'Аркуш1'!$A$5:$BP$7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i val="1"/>
      <color theme="1"/>
      <sz val="8"/>
    </font>
    <font>
      <name val="Times New Roman"/>
      <charset val="204"/>
      <family val="1"/>
      <sz val="8"/>
    </font>
    <font>
      <name val="Times New Roman"/>
      <charset val="204"/>
      <family val="1"/>
      <b val="1"/>
      <sz val="8"/>
    </font>
    <font>
      <name val="Calibri"/>
      <family val="2"/>
      <color theme="1"/>
      <sz val="8"/>
      <scheme val="minor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4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color rgb="FF0D0D0D"/>
      <sz val="11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b val="1"/>
      <color theme="1"/>
      <sz val="13.5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rgb="FFFF0000"/>
      <sz val="8"/>
    </font>
    <font>
      <name val="Calibri"/>
      <family val="2"/>
      <color rgb="FFFF0000"/>
      <sz val="11"/>
      <scheme val="minor"/>
    </font>
    <font>
      <name val="Times New Roman"/>
      <charset val="204"/>
      <family val="1"/>
      <color rgb="FFFF0000"/>
      <sz val="9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rgb="FF0D0D0D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0" fillId="0" borderId="0" pivotButton="0" quotePrefix="0" xfId="0"/>
    <xf numFmtId="0" fontId="1" fillId="0" borderId="1" applyAlignment="1" pivotButton="0" quotePrefix="0" xfId="0">
      <alignment horizontal="justify" vertical="top" wrapText="1"/>
    </xf>
    <xf numFmtId="0" fontId="1" fillId="0" borderId="1" pivotButton="0" quotePrefix="0" xfId="0"/>
    <xf numFmtId="0" fontId="1" fillId="0" borderId="1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5" fillId="3" borderId="18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justify" vertical="top" wrapText="1"/>
    </xf>
    <xf numFmtId="0" fontId="1" fillId="4" borderId="1" applyAlignment="1" pivotButton="0" quotePrefix="0" xfId="0">
      <alignment horizontal="justify" vertical="top" wrapText="1"/>
    </xf>
    <xf numFmtId="0" fontId="0" fillId="4" borderId="1" applyAlignment="1" pivotButton="0" quotePrefix="0" xfId="0">
      <alignment horizontal="justify" vertical="top" wrapText="1"/>
    </xf>
    <xf numFmtId="0" fontId="1" fillId="3" borderId="1" applyAlignment="1" pivotButton="0" quotePrefix="0" xfId="0">
      <alignment horizontal="justify" vertical="top" wrapText="1"/>
    </xf>
    <xf numFmtId="0" fontId="0" fillId="3" borderId="1" applyAlignment="1" pivotButton="0" quotePrefix="0" xfId="0">
      <alignment horizontal="justify" vertical="top" wrapText="1"/>
    </xf>
    <xf numFmtId="0" fontId="6" fillId="2" borderId="1" applyAlignment="1" pivotButton="0" quotePrefix="0" xfId="0">
      <alignment horizontal="justify" vertical="top" wrapText="1"/>
    </xf>
    <xf numFmtId="0" fontId="0" fillId="2" borderId="1" applyAlignment="1" pivotButton="0" quotePrefix="0" xfId="0">
      <alignment horizontal="justify" vertical="top" wrapText="1"/>
    </xf>
    <xf numFmtId="0" fontId="0" fillId="0" borderId="1" applyAlignment="1" pivotButton="0" quotePrefix="0" xfId="0">
      <alignment horizontal="justify" vertical="top" wrapText="1"/>
    </xf>
    <xf numFmtId="0" fontId="1" fillId="0" borderId="10" applyAlignment="1" pivotButton="0" quotePrefix="0" xfId="0">
      <alignment horizontal="justify" vertical="top" wrapText="1"/>
    </xf>
    <xf numFmtId="0" fontId="1" fillId="0" borderId="9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2" fillId="3" borderId="2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justify" vertical="top" wrapText="1"/>
    </xf>
    <xf numFmtId="14" fontId="1" fillId="0" borderId="1" applyAlignment="1" pivotButton="0" quotePrefix="0" xfId="0">
      <alignment horizontal="justify" vertical="top" wrapText="1"/>
    </xf>
    <xf numFmtId="14" fontId="1" fillId="4" borderId="1" applyAlignment="1" pivotButton="0" quotePrefix="0" xfId="0">
      <alignment horizontal="justify" vertical="top" wrapText="1"/>
    </xf>
    <xf numFmtId="0" fontId="5" fillId="3" borderId="17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6" fillId="4" borderId="10" applyAlignment="1" pivotButton="0" quotePrefix="0" xfId="0">
      <alignment horizontal="center" vertical="center" wrapText="1"/>
    </xf>
    <xf numFmtId="0" fontId="16" fillId="4" borderId="18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 wrapText="1"/>
    </xf>
    <xf numFmtId="0" fontId="1" fillId="0" borderId="20" applyAlignment="1" pivotButton="0" quotePrefix="0" xfId="0">
      <alignment vertical="center" wrapText="1"/>
    </xf>
    <xf numFmtId="0" fontId="16" fillId="4" borderId="2" applyAlignment="1" pivotButton="0" quotePrefix="0" xfId="0">
      <alignment horizontal="center" vertical="center" textRotation="90" wrapText="1"/>
    </xf>
    <xf numFmtId="0" fontId="7" fillId="4" borderId="36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4" borderId="37" applyAlignment="1" pivotButton="0" quotePrefix="0" xfId="0">
      <alignment horizontal="center" vertical="center" wrapText="1"/>
    </xf>
    <xf numFmtId="0" fontId="3" fillId="2" borderId="40" applyAlignment="1" pivotButton="0" quotePrefix="0" xfId="0">
      <alignment horizontal="center" vertical="center" wrapText="1"/>
    </xf>
    <xf numFmtId="0" fontId="3" fillId="2" borderId="4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40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3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textRotation="90" wrapText="1"/>
    </xf>
    <xf numFmtId="0" fontId="8" fillId="0" borderId="1" applyAlignment="1" pivotButton="0" quotePrefix="0" xfId="0">
      <alignment horizontal="center" vertical="center" textRotation="90" wrapText="1"/>
    </xf>
    <xf numFmtId="0" fontId="8" fillId="0" borderId="22" applyAlignment="1" pivotButton="0" quotePrefix="0" xfId="0">
      <alignment horizontal="center" vertical="center" textRotation="90" wrapText="1"/>
    </xf>
    <xf numFmtId="0" fontId="21" fillId="4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3" borderId="26" applyAlignment="1" pivotButton="0" quotePrefix="0" xfId="0">
      <alignment horizontal="center" vertical="center" wrapText="1"/>
    </xf>
    <xf numFmtId="0" fontId="21" fillId="4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16" fillId="4" borderId="9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11" fillId="3" borderId="26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6" fillId="3" borderId="47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2" fillId="4" borderId="2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6" fillId="4" borderId="47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6" fillId="4" borderId="45" applyAlignment="1" pivotButton="0" quotePrefix="0" xfId="0">
      <alignment horizontal="center" vertical="center"/>
    </xf>
    <xf numFmtId="0" fontId="11" fillId="3" borderId="40" applyAlignment="1" pivotButton="0" quotePrefix="0" xfId="0">
      <alignment horizontal="center" vertical="center"/>
    </xf>
    <xf numFmtId="0" fontId="21" fillId="4" borderId="41" applyAlignment="1" pivotButton="0" quotePrefix="0" xfId="0">
      <alignment horizontal="center" vertical="center"/>
    </xf>
    <xf numFmtId="0" fontId="16" fillId="4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 wrapText="1"/>
    </xf>
    <xf numFmtId="0" fontId="8" fillId="2" borderId="29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16" fillId="4" borderId="17" applyAlignment="1" pivotButton="0" quotePrefix="0" xfId="0">
      <alignment horizontal="center" vertical="center"/>
    </xf>
    <xf numFmtId="0" fontId="11" fillId="3" borderId="29" applyAlignment="1" pivotButton="0" quotePrefix="0" xfId="0">
      <alignment horizontal="center" vertical="center"/>
    </xf>
    <xf numFmtId="0" fontId="21" fillId="4" borderId="18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 wrapText="1"/>
    </xf>
    <xf numFmtId="0" fontId="7" fillId="3" borderId="40" applyAlignment="1" pivotButton="0" quotePrefix="0" xfId="0">
      <alignment horizontal="center" vertical="center" wrapText="1"/>
    </xf>
    <xf numFmtId="0" fontId="7" fillId="3" borderId="39" applyAlignment="1" pivotButton="0" quotePrefix="0" xfId="0">
      <alignment horizontal="center" vertical="center" wrapText="1"/>
    </xf>
    <xf numFmtId="0" fontId="8" fillId="0" borderId="4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4" borderId="39" applyAlignment="1" pivotButton="0" quotePrefix="0" xfId="0">
      <alignment horizontal="center" vertical="center" wrapText="1"/>
    </xf>
    <xf numFmtId="0" fontId="11" fillId="3" borderId="40" applyAlignment="1" pivotButton="0" quotePrefix="0" xfId="0">
      <alignment horizontal="center" vertical="center" wrapText="1"/>
    </xf>
    <xf numFmtId="0" fontId="21" fillId="4" borderId="41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7" fillId="4" borderId="2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16" pivotButton="0" quotePrefix="0" xfId="0"/>
    <xf numFmtId="0" fontId="0" fillId="0" borderId="16" pivotButton="0" quotePrefix="0" xfId="0"/>
    <xf numFmtId="14" fontId="1" fillId="5" borderId="1" applyAlignment="1" pivotButton="0" quotePrefix="0" xfId="0">
      <alignment horizontal="justify" vertical="top" wrapText="1"/>
    </xf>
    <xf numFmtId="0" fontId="0" fillId="5" borderId="1" applyAlignment="1" pivotButton="0" quotePrefix="0" xfId="0">
      <alignment horizontal="justify" vertical="top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" fontId="11" fillId="5" borderId="1" applyAlignment="1" pivotButton="0" quotePrefix="0" xfId="0">
      <alignment horizontal="center" vertical="center" wrapText="1"/>
    </xf>
    <xf numFmtId="1" fontId="1" fillId="5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1" fontId="1" fillId="5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18" pivotButton="0" quotePrefix="0" xfId="0"/>
    <xf numFmtId="0" fontId="1" fillId="0" borderId="2" pivotButton="0" quotePrefix="0" xfId="0"/>
    <xf numFmtId="0" fontId="5" fillId="3" borderId="10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justify" vertical="top" wrapText="1"/>
    </xf>
    <xf numFmtId="0" fontId="0" fillId="3" borderId="10" applyAlignment="1" pivotButton="0" quotePrefix="0" xfId="0">
      <alignment horizontal="justify" vertical="top" wrapText="1"/>
    </xf>
    <xf numFmtId="0" fontId="0" fillId="2" borderId="10" applyAlignment="1" pivotButton="0" quotePrefix="0" xfId="0">
      <alignment horizontal="justify" vertical="top" wrapText="1"/>
    </xf>
    <xf numFmtId="1" fontId="2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2" fillId="5" borderId="22" applyAlignment="1" pivotButton="0" quotePrefix="0" xfId="0">
      <alignment horizontal="center" vertical="center" wrapText="1"/>
    </xf>
    <xf numFmtId="0" fontId="11" fillId="5" borderId="22" applyAlignment="1" pivotButton="0" quotePrefix="0" xfId="0">
      <alignment horizontal="center" vertical="center" wrapText="1"/>
    </xf>
    <xf numFmtId="0" fontId="1" fillId="5" borderId="22" applyAlignment="1" pivotButton="0" quotePrefix="0" xfId="0">
      <alignment horizontal="center" vertical="center" wrapText="1"/>
    </xf>
    <xf numFmtId="0" fontId="2" fillId="3" borderId="26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justify" vertical="top" wrapText="1"/>
    </xf>
    <xf numFmtId="0" fontId="1" fillId="0" borderId="26" applyAlignment="1" pivotButton="0" quotePrefix="0" xfId="0">
      <alignment horizontal="justify" vertical="top" wrapText="1"/>
    </xf>
    <xf numFmtId="0" fontId="2" fillId="3" borderId="10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justify" vertical="top" wrapText="1"/>
    </xf>
    <xf numFmtId="0" fontId="2" fillId="3" borderId="9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justify" vertical="top" wrapText="1"/>
    </xf>
    <xf numFmtId="0" fontId="1" fillId="0" borderId="9" applyAlignment="1" pivotButton="0" quotePrefix="0" xfId="0">
      <alignment horizontal="justify" vertical="top" wrapText="1"/>
    </xf>
    <xf numFmtId="0" fontId="6" fillId="2" borderId="26" applyAlignment="1" pivotButton="0" quotePrefix="0" xfId="0">
      <alignment horizontal="justify" vertical="top" wrapText="1"/>
    </xf>
    <xf numFmtId="0" fontId="1" fillId="5" borderId="10" applyAlignment="1" pivotButton="0" quotePrefix="0" xfId="0">
      <alignment horizontal="center" vertical="center" wrapText="1"/>
    </xf>
    <xf numFmtId="0" fontId="1" fillId="5" borderId="10" applyAlignment="1" pivotButton="0" quotePrefix="0" xfId="0">
      <alignment horizontal="center" vertical="center"/>
    </xf>
    <xf numFmtId="0" fontId="1" fillId="4" borderId="10" applyAlignment="1" pivotButton="0" quotePrefix="0" xfId="0">
      <alignment horizontal="justify" vertical="top" wrapText="1"/>
    </xf>
    <xf numFmtId="0" fontId="1" fillId="3" borderId="10" applyAlignment="1" pivotButton="0" quotePrefix="0" xfId="0">
      <alignment horizontal="justify" vertical="top" wrapText="1"/>
    </xf>
    <xf numFmtId="0" fontId="6" fillId="2" borderId="10" applyAlignment="1" pivotButton="0" quotePrefix="0" xfId="0">
      <alignment horizontal="justify" vertical="top" wrapText="1"/>
    </xf>
    <xf numFmtId="0" fontId="2" fillId="3" borderId="22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justify" vertical="top" wrapText="1"/>
    </xf>
    <xf numFmtId="0" fontId="1" fillId="3" borderId="9" applyAlignment="1" pivotButton="0" quotePrefix="0" xfId="0">
      <alignment horizontal="justify" vertical="top" wrapText="1"/>
    </xf>
    <xf numFmtId="0" fontId="6" fillId="2" borderId="9" applyAlignment="1" pivotButton="0" quotePrefix="0" xfId="0">
      <alignment horizontal="justify" vertical="top" wrapText="1"/>
    </xf>
    <xf numFmtId="0" fontId="0" fillId="0" borderId="9" applyAlignment="1" pivotButton="0" quotePrefix="0" xfId="0">
      <alignment horizontal="justify" vertical="top" wrapText="1"/>
    </xf>
    <xf numFmtId="0" fontId="1" fillId="0" borderId="9" pivotButton="0" quotePrefix="0" xfId="0"/>
    <xf numFmtId="0" fontId="0" fillId="0" borderId="22" applyAlignment="1" pivotButton="0" quotePrefix="0" xfId="0">
      <alignment horizontal="justify" vertical="top" wrapText="1"/>
    </xf>
    <xf numFmtId="0" fontId="5" fillId="3" borderId="26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justify" vertical="top" wrapText="1"/>
    </xf>
    <xf numFmtId="0" fontId="0" fillId="3" borderId="9" applyAlignment="1" pivotButton="0" quotePrefix="0" xfId="0">
      <alignment horizontal="justify" vertical="top" wrapText="1"/>
    </xf>
    <xf numFmtId="0" fontId="0" fillId="2" borderId="9" applyAlignment="1" pivotButton="0" quotePrefix="0" xfId="0">
      <alignment horizontal="justify" vertical="top" wrapText="1"/>
    </xf>
    <xf numFmtId="0" fontId="2" fillId="3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1" fillId="2" borderId="26" applyAlignment="1" pivotButton="0" quotePrefix="0" xfId="0">
      <alignment vertical="top" wrapText="1"/>
    </xf>
    <xf numFmtId="0" fontId="1" fillId="2" borderId="10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9" applyAlignment="1" pivotButton="0" quotePrefix="0" xfId="0">
      <alignment horizontal="justify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46" applyAlignment="1" pivotButton="0" quotePrefix="0" xfId="0">
      <alignment horizontal="justify" vertical="top" wrapText="1"/>
    </xf>
    <xf numFmtId="0" fontId="1" fillId="2" borderId="29" applyAlignment="1" pivotButton="0" quotePrefix="0" xfId="0">
      <alignment vertical="top" wrapText="1"/>
    </xf>
    <xf numFmtId="0" fontId="1" fillId="2" borderId="24" applyAlignment="1" pivotButton="0" quotePrefix="0" xfId="0">
      <alignment horizontal="justify" vertical="top" wrapText="1"/>
    </xf>
    <xf numFmtId="0" fontId="1" fillId="2" borderId="12" applyAlignment="1" pivotButton="0" quotePrefix="0" xfId="0">
      <alignment horizontal="justify" vertical="top" wrapText="1"/>
    </xf>
    <xf numFmtId="0" fontId="1" fillId="5" borderId="17" applyAlignment="1" pivotButton="0" quotePrefix="0" xfId="0">
      <alignment horizontal="center" vertical="center" wrapText="1"/>
    </xf>
    <xf numFmtId="0" fontId="0" fillId="5" borderId="3" pivotButton="0" quotePrefix="0" xfId="0"/>
    <xf numFmtId="0" fontId="0" fillId="5" borderId="1" pivotButton="0" quotePrefix="0" xfId="0"/>
    <xf numFmtId="0" fontId="0" fillId="5" borderId="22" pivotButton="0" quotePrefix="0" xfId="0"/>
    <xf numFmtId="0" fontId="0" fillId="5" borderId="19" pivotButton="0" quotePrefix="0" xfId="0"/>
    <xf numFmtId="1" fontId="0" fillId="5" borderId="1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0" fillId="5" borderId="9" pivotButton="0" quotePrefix="0" xfId="0"/>
    <xf numFmtId="0" fontId="1" fillId="0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0" fillId="4" borderId="0" pivotButton="0" quotePrefix="0" xfId="0"/>
    <xf numFmtId="0" fontId="0" fillId="0" borderId="9" pivotButton="0" quotePrefix="0" xfId="0"/>
    <xf numFmtId="0" fontId="1" fillId="2" borderId="9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1" fillId="2" borderId="22" applyAlignment="1" pivotButton="0" quotePrefix="0" xfId="0">
      <alignment horizontal="center" vertical="top" wrapText="1"/>
    </xf>
    <xf numFmtId="0" fontId="1" fillId="2" borderId="45" applyAlignment="1" pivotButton="0" quotePrefix="0" xfId="0">
      <alignment horizontal="center" vertical="top" wrapText="1"/>
    </xf>
    <xf numFmtId="0" fontId="1" fillId="2" borderId="16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1" fillId="2" borderId="10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" fontId="10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justify" vertical="top" wrapText="1"/>
    </xf>
    <xf numFmtId="0" fontId="1" fillId="0" borderId="4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1" fillId="5" borderId="11" pivotButton="0" quotePrefix="0" xfId="0"/>
    <xf numFmtId="0" fontId="0" fillId="5" borderId="1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5" borderId="22" pivotButton="0" quotePrefix="0" xfId="0"/>
    <xf numFmtId="14" fontId="1" fillId="0" borderId="1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center" vertical="top" wrapText="1"/>
    </xf>
    <xf numFmtId="0" fontId="1" fillId="0" borderId="26" applyAlignment="1" pivotButton="0" quotePrefix="0" xfId="0">
      <alignment horizontal="center" vertical="top" wrapText="1"/>
    </xf>
    <xf numFmtId="0" fontId="0" fillId="0" borderId="26" pivotButton="0" quotePrefix="0" xfId="0"/>
    <xf numFmtId="0" fontId="0" fillId="0" borderId="22" pivotButton="0" quotePrefix="0" xfId="0"/>
    <xf numFmtId="0" fontId="10" fillId="0" borderId="26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wrapText="1"/>
    </xf>
    <xf numFmtId="0" fontId="10" fillId="0" borderId="1" pivotButton="0" quotePrefix="0" xfId="0"/>
    <xf numFmtId="0" fontId="10" fillId="0" borderId="22" pivotButton="0" quotePrefix="0" xfId="0"/>
    <xf numFmtId="0" fontId="1" fillId="0" borderId="26" applyAlignment="1" pivotButton="0" quotePrefix="0" xfId="0">
      <alignment horizontal="center" vertical="center" wrapText="1"/>
    </xf>
    <xf numFmtId="0" fontId="22" fillId="0" borderId="26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3" fillId="2" borderId="12" applyAlignment="1" pivotButton="0" quotePrefix="0" xfId="0">
      <alignment horizontal="center" vertical="center" wrapText="1"/>
    </xf>
    <xf numFmtId="0" fontId="24" fillId="0" borderId="1" pivotButton="0" quotePrefix="0" xfId="0"/>
    <xf numFmtId="0" fontId="24" fillId="0" borderId="9" pivotButton="0" quotePrefix="0" xfId="0"/>
    <xf numFmtId="0" fontId="23" fillId="0" borderId="10" applyAlignment="1" pivotButton="0" quotePrefix="0" xfId="0">
      <alignment horizontal="center" vertical="top" wrapText="1"/>
    </xf>
    <xf numFmtId="0" fontId="23" fillId="2" borderId="9" applyAlignment="1" pivotButton="0" quotePrefix="0" xfId="0">
      <alignment horizontal="justify" vertical="top" wrapText="1"/>
    </xf>
    <xf numFmtId="0" fontId="25" fillId="0" borderId="1" applyAlignment="1" pivotButton="0" quotePrefix="0" xfId="0">
      <alignment vertical="center" wrapText="1"/>
    </xf>
    <xf numFmtId="0" fontId="26" fillId="0" borderId="26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wrapText="1"/>
    </xf>
    <xf numFmtId="0" fontId="26" fillId="0" borderId="1" pivotButton="0" quotePrefix="0" xfId="0"/>
    <xf numFmtId="0" fontId="26" fillId="0" borderId="22" pivotButton="0" quotePrefix="0" xfId="0"/>
    <xf numFmtId="0" fontId="24" fillId="0" borderId="1" applyAlignment="1" pivotButton="0" quotePrefix="0" xfId="0">
      <alignment horizontal="center" vertical="center" wrapText="1"/>
    </xf>
    <xf numFmtId="0" fontId="24" fillId="0" borderId="22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justify" vertical="top" wrapText="1"/>
    </xf>
    <xf numFmtId="0" fontId="4" fillId="0" borderId="10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justify" vertical="top" wrapText="1"/>
    </xf>
    <xf numFmtId="0" fontId="22" fillId="0" borderId="1" applyAlignment="1" pivotButton="0" quotePrefix="0" xfId="0">
      <alignment horizontal="center" wrapText="1"/>
    </xf>
    <xf numFmtId="0" fontId="1" fillId="5" borderId="22" applyAlignment="1" pivotButton="0" quotePrefix="0" xfId="0">
      <alignment horizontal="center" vertical="center"/>
    </xf>
    <xf numFmtId="0" fontId="1" fillId="2" borderId="4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1" fillId="5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justify" vertical="top" wrapText="1"/>
    </xf>
    <xf numFmtId="0" fontId="1" fillId="5" borderId="45" applyAlignment="1" pivotButton="0" quotePrefix="0" xfId="0">
      <alignment horizontal="center" vertical="center" wrapText="1"/>
    </xf>
    <xf numFmtId="0" fontId="1" fillId="5" borderId="23" applyAlignment="1" pivotButton="0" quotePrefix="0" xfId="0">
      <alignment horizontal="center" vertical="center" wrapText="1"/>
    </xf>
    <xf numFmtId="0" fontId="1" fillId="5" borderId="11" applyAlignment="1" pivotButton="0" quotePrefix="0" xfId="0">
      <alignment horizontal="center" vertical="center" wrapText="1"/>
    </xf>
    <xf numFmtId="0" fontId="1" fillId="5" borderId="18" applyAlignment="1" pivotButton="0" quotePrefix="0" xfId="0">
      <alignment horizontal="center" vertical="center" wrapText="1"/>
    </xf>
    <xf numFmtId="0" fontId="1" fillId="5" borderId="19" applyAlignment="1" pivotButton="0" quotePrefix="0" xfId="0">
      <alignment horizontal="center" vertical="center" wrapText="1"/>
    </xf>
    <xf numFmtId="0" fontId="1" fillId="5" borderId="23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 vertical="center"/>
    </xf>
    <xf numFmtId="0" fontId="1" fillId="5" borderId="3" pivotButton="0" quotePrefix="0" xfId="0"/>
    <xf numFmtId="0" fontId="23" fillId="2" borderId="1" applyAlignment="1" pivotButton="0" quotePrefix="0" xfId="0">
      <alignment horizontal="center" vertical="center" wrapText="1"/>
    </xf>
    <xf numFmtId="0" fontId="24" fillId="2" borderId="22" applyAlignment="1" pivotButton="0" quotePrefix="0" xfId="0">
      <alignment horizontal="center" vertical="center" wrapText="1"/>
    </xf>
    <xf numFmtId="0" fontId="1" fillId="5" borderId="31" applyAlignment="1" pivotButton="0" quotePrefix="0" xfId="0">
      <alignment horizontal="center" vertical="center" wrapText="1"/>
    </xf>
    <xf numFmtId="0" fontId="1" fillId="5" borderId="20" applyAlignment="1" pivotButton="0" quotePrefix="0" xfId="0">
      <alignment horizontal="center" vertical="center" wrapText="1"/>
    </xf>
    <xf numFmtId="0" fontId="22" fillId="0" borderId="26" applyAlignment="1" pivotButton="0" quotePrefix="0" xfId="0">
      <alignment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center" vertical="center" wrapText="1"/>
    </xf>
    <xf numFmtId="0" fontId="23" fillId="5" borderId="9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top" wrapText="1"/>
    </xf>
    <xf numFmtId="0" fontId="4" fillId="5" borderId="10" applyAlignment="1" pivotButton="0" quotePrefix="0" xfId="0">
      <alignment horizontal="center" vertical="center"/>
    </xf>
    <xf numFmtId="0" fontId="4" fillId="2" borderId="12" applyAlignment="1" pivotButton="0" quotePrefix="0" xfId="0">
      <alignment horizontal="justify" vertical="top" wrapText="1"/>
    </xf>
    <xf numFmtId="0" fontId="4" fillId="2" borderId="9" applyAlignment="1" pivotButton="0" quotePrefix="0" xfId="0">
      <alignment horizontal="center" vertical="top" wrapText="1"/>
    </xf>
    <xf numFmtId="0" fontId="4" fillId="2" borderId="26" applyAlignment="1" pivotButton="0" quotePrefix="0" xfId="0">
      <alignment horizontal="justify" vertical="top" wrapText="1"/>
    </xf>
    <xf numFmtId="0" fontId="4" fillId="2" borderId="11" applyAlignment="1" pivotButton="0" quotePrefix="0" xfId="0">
      <alignment horizontal="center" vertical="top" wrapText="1"/>
    </xf>
    <xf numFmtId="0" fontId="4" fillId="5" borderId="9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justify" vertical="top" wrapText="1"/>
    </xf>
    <xf numFmtId="0" fontId="1" fillId="0" borderId="10" applyAlignment="1" pivotButton="0" quotePrefix="0" xfId="0">
      <alignment vertical="top" wrapText="1"/>
    </xf>
    <xf numFmtId="0" fontId="4" fillId="2" borderId="3" applyAlignment="1" pivotButton="0" quotePrefix="0" xfId="0">
      <alignment horizontal="center" vertical="top" wrapText="1"/>
    </xf>
    <xf numFmtId="0" fontId="4" fillId="2" borderId="10" applyAlignment="1" pivotButton="0" quotePrefix="0" xfId="0">
      <alignment horizontal="center" vertical="top" wrapText="1"/>
    </xf>
    <xf numFmtId="0" fontId="4" fillId="2" borderId="26" applyAlignment="1" pivotButton="0" quotePrefix="0" xfId="0">
      <alignment horizontal="center" vertical="top" wrapText="1"/>
    </xf>
    <xf numFmtId="0" fontId="4" fillId="0" borderId="26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center" wrapText="1"/>
    </xf>
    <xf numFmtId="0" fontId="26" fillId="0" borderId="9" pivotButton="0" quotePrefix="0" xfId="0"/>
    <xf numFmtId="0" fontId="1" fillId="0" borderId="22" pivotButton="0" quotePrefix="0" xfId="0"/>
    <xf numFmtId="0" fontId="1" fillId="0" borderId="26" pivotButton="0" quotePrefix="0" xfId="0"/>
    <xf numFmtId="1" fontId="0" fillId="5" borderId="26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25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/>
    </xf>
    <xf numFmtId="0" fontId="9" fillId="0" borderId="13" applyAlignment="1" pivotButton="0" quotePrefix="0" xfId="0">
      <alignment horizontal="center"/>
    </xf>
    <xf numFmtId="0" fontId="11" fillId="0" borderId="0" applyAlignment="1" pivotButton="0" quotePrefix="0" xfId="0">
      <alignment horizontal="center" wrapText="1"/>
    </xf>
    <xf numFmtId="0" fontId="13" fillId="0" borderId="24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11" fillId="0" borderId="3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0" fontId="14" fillId="0" borderId="18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 vertical="center" wrapText="1"/>
    </xf>
    <xf numFmtId="0" fontId="2" fillId="2" borderId="31" applyAlignment="1" pivotButton="0" quotePrefix="0" xfId="0">
      <alignment horizontal="center" vertical="center" wrapText="1"/>
    </xf>
    <xf numFmtId="0" fontId="15" fillId="4" borderId="29" applyAlignment="1" pivotButton="0" quotePrefix="0" xfId="0">
      <alignment horizontal="center" vertical="center" textRotation="90" wrapText="1"/>
    </xf>
    <xf numFmtId="0" fontId="15" fillId="4" borderId="15" applyAlignment="1" pivotButton="0" quotePrefix="0" xfId="0">
      <alignment horizontal="center" vertical="center" textRotation="90" wrapText="1"/>
    </xf>
    <xf numFmtId="0" fontId="15" fillId="4" borderId="32" applyAlignment="1" pivotButton="0" quotePrefix="0" xfId="0">
      <alignment horizontal="center" vertical="center" textRotation="90" wrapText="1"/>
    </xf>
    <xf numFmtId="0" fontId="11" fillId="4" borderId="30" applyAlignment="1" pivotButton="0" quotePrefix="0" xfId="0">
      <alignment horizontal="center" vertical="center" textRotation="90" wrapText="1"/>
    </xf>
    <xf numFmtId="0" fontId="11" fillId="4" borderId="0" applyAlignment="1" pivotButton="0" quotePrefix="0" xfId="0">
      <alignment horizontal="center" vertical="center" textRotation="90" wrapText="1"/>
    </xf>
    <xf numFmtId="0" fontId="11" fillId="4" borderId="33" applyAlignment="1" pivotButton="0" quotePrefix="0" xfId="0">
      <alignment horizontal="center" vertical="center" textRotation="90" wrapText="1"/>
    </xf>
    <xf numFmtId="0" fontId="16" fillId="4" borderId="12" applyAlignment="1" pivotButton="0" quotePrefix="0" xfId="0">
      <alignment horizontal="center" vertical="center" wrapText="1"/>
    </xf>
    <xf numFmtId="0" fontId="16" fillId="4" borderId="10" applyAlignment="1" pivotButton="0" quotePrefix="0" xfId="0">
      <alignment horizontal="center" vertical="center" wrapText="1"/>
    </xf>
    <xf numFmtId="0" fontId="11" fillId="3" borderId="29" applyAlignment="1" pivotButton="0" quotePrefix="0" xfId="0">
      <alignment horizontal="center" vertical="center" textRotation="90" wrapText="1"/>
    </xf>
    <xf numFmtId="0" fontId="11" fillId="3" borderId="15" applyAlignment="1" pivotButton="0" quotePrefix="0" xfId="0">
      <alignment horizontal="center" vertical="center" textRotation="90" wrapText="1"/>
    </xf>
    <xf numFmtId="0" fontId="11" fillId="3" borderId="32" applyAlignment="1" pivotButton="0" quotePrefix="0" xfId="0">
      <alignment horizontal="center" vertical="center" textRotation="90" wrapText="1"/>
    </xf>
    <xf numFmtId="0" fontId="16" fillId="4" borderId="17" applyAlignment="1" pivotButton="0" quotePrefix="0" xfId="0">
      <alignment horizontal="center"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4" borderId="18" applyAlignment="1" pivotButton="0" quotePrefix="0" xfId="0">
      <alignment horizontal="center" vertical="center" wrapText="1"/>
    </xf>
    <xf numFmtId="0" fontId="16" fillId="4" borderId="19" applyAlignment="1" pivotButton="0" quotePrefix="0" xfId="0">
      <alignment horizontal="center" vertical="center" wrapText="1"/>
    </xf>
    <xf numFmtId="0" fontId="16" fillId="4" borderId="13" applyAlignment="1" pivotButton="0" quotePrefix="0" xfId="0">
      <alignment horizontal="center" vertical="center" wrapText="1"/>
    </xf>
    <xf numFmtId="0" fontId="16" fillId="4" borderId="11" applyAlignment="1" pivotButton="0" quotePrefix="0" xfId="0">
      <alignment horizontal="center" vertical="center" wrapText="1"/>
    </xf>
    <xf numFmtId="0" fontId="2" fillId="4" borderId="17" applyAlignment="1" pivotButton="0" quotePrefix="0" xfId="0">
      <alignment horizontal="center" vertical="center" wrapText="1"/>
    </xf>
    <xf numFmtId="0" fontId="2" fillId="4" borderId="18" applyAlignment="1" pivotButton="0" quotePrefix="0" xfId="0">
      <alignment horizontal="center" vertical="center" wrapText="1"/>
    </xf>
    <xf numFmtId="0" fontId="2" fillId="4" borderId="19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 wrapText="1"/>
    </xf>
    <xf numFmtId="0" fontId="2" fillId="0" borderId="21" applyAlignment="1" pivotButton="0" quotePrefix="0" xfId="0">
      <alignment horizontal="center" vertical="center" textRotation="90" wrapText="1"/>
    </xf>
    <xf numFmtId="0" fontId="7" fillId="4" borderId="23" applyAlignment="1" pivotButton="0" quotePrefix="0" xfId="0">
      <alignment horizontal="left" vertical="center" textRotation="90" wrapText="1"/>
    </xf>
    <xf numFmtId="0" fontId="7" fillId="4" borderId="35" applyAlignment="1" pivotButton="0" quotePrefix="0" xfId="0">
      <alignment horizontal="left" vertical="center" textRotation="90" wrapText="1"/>
    </xf>
    <xf numFmtId="0" fontId="7" fillId="4" borderId="20" applyAlignment="1" pivotButton="0" quotePrefix="0" xfId="0">
      <alignment horizontal="center" vertical="center" textRotation="90" wrapText="1"/>
    </xf>
    <xf numFmtId="0" fontId="7" fillId="4" borderId="21" applyAlignment="1" pivotButton="0" quotePrefix="0" xfId="0">
      <alignment horizontal="center" vertical="center" textRotation="90" wrapText="1"/>
    </xf>
    <xf numFmtId="0" fontId="17" fillId="4" borderId="2" applyAlignment="1" pivotButton="0" quotePrefix="0" xfId="0">
      <alignment horizontal="center" vertical="center" wrapText="1"/>
    </xf>
    <xf numFmtId="0" fontId="17" fillId="4" borderId="4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20" fillId="2" borderId="29" applyAlignment="1" pivotButton="0" quotePrefix="0" xfId="0">
      <alignment horizontal="center" vertical="center" wrapText="1"/>
    </xf>
    <xf numFmtId="0" fontId="20" fillId="2" borderId="46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0" fillId="2" borderId="28" applyAlignment="1" pivotButton="0" quotePrefix="0" xfId="0">
      <alignment horizontal="center" vertical="center" wrapText="1"/>
    </xf>
    <xf numFmtId="0" fontId="20" fillId="2" borderId="13" applyAlignment="1" pivotButton="0" quotePrefix="0" xfId="0">
      <alignment horizontal="center" vertical="center" wrapText="1"/>
    </xf>
    <xf numFmtId="0" fontId="20" fillId="2" borderId="17" applyAlignment="1" pivotButton="0" quotePrefix="0" xfId="0">
      <alignment horizontal="center" vertical="center" wrapText="1"/>
    </xf>
    <xf numFmtId="0" fontId="20" fillId="2" borderId="19" applyAlignment="1" pivotButton="0" quotePrefix="0" xfId="0">
      <alignment horizontal="center" vertical="center" wrapText="1"/>
    </xf>
    <xf numFmtId="0" fontId="19" fillId="4" borderId="23" applyAlignment="1" pivotButton="0" quotePrefix="0" xfId="0">
      <alignment horizontal="center" vertical="center" wrapText="1"/>
    </xf>
    <xf numFmtId="0" fontId="19" fillId="4" borderId="31" applyAlignment="1" pivotButton="0" quotePrefix="0" xfId="0">
      <alignment horizontal="center" vertical="center" wrapText="1"/>
    </xf>
    <xf numFmtId="0" fontId="19" fillId="4" borderId="45" applyAlignment="1" pivotButton="0" quotePrefix="0" xfId="0">
      <alignment horizontal="center" vertical="center" wrapText="1"/>
    </xf>
    <xf numFmtId="0" fontId="18" fillId="2" borderId="24" applyAlignment="1" pivotButton="0" quotePrefix="0" xfId="0">
      <alignment horizontal="center" vertical="center" wrapText="1"/>
    </xf>
    <xf numFmtId="0" fontId="18" fillId="2" borderId="12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center" vertical="center" wrapText="1"/>
    </xf>
    <xf numFmtId="0" fontId="17" fillId="3" borderId="16" applyAlignment="1" pivotButton="0" quotePrefix="0" xfId="0">
      <alignment horizontal="center" vertical="center" wrapText="1"/>
    </xf>
    <xf numFmtId="0" fontId="17" fillId="3" borderId="19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19" fillId="4" borderId="16" applyAlignment="1" pivotButton="0" quotePrefix="0" xfId="0">
      <alignment horizontal="center" vertical="center" wrapText="1"/>
    </xf>
    <xf numFmtId="0" fontId="19" fillId="4" borderId="19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/>
    </xf>
    <xf numFmtId="0" fontId="11" fillId="2" borderId="28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19" applyAlignment="1" pivotButton="0" quotePrefix="0" xfId="0">
      <alignment horizontal="center" vertical="center"/>
    </xf>
    <xf numFmtId="0" fontId="11" fillId="2" borderId="13" applyAlignment="1" pivotButton="0" quotePrefix="0" xfId="0">
      <alignment horizontal="center" vertical="center"/>
    </xf>
    <xf numFmtId="0" fontId="11" fillId="2" borderId="30" applyAlignment="1" pivotButton="0" quotePrefix="0" xfId="0">
      <alignment horizontal="center" vertical="center"/>
    </xf>
    <xf numFmtId="0" fontId="11" fillId="2" borderId="43" applyAlignment="1" pivotButton="0" quotePrefix="0" xfId="0">
      <alignment horizontal="center" vertical="center"/>
    </xf>
    <xf numFmtId="0" fontId="11" fillId="2" borderId="27" applyAlignment="1" pivotButton="0" quotePrefix="0" xfId="0">
      <alignment horizontal="center" vertical="center"/>
    </xf>
    <xf numFmtId="0" fontId="19" fillId="2" borderId="28" applyAlignment="1" pivotButton="0" quotePrefix="0" xfId="0">
      <alignment horizontal="center" vertical="center" wrapText="1"/>
    </xf>
    <xf numFmtId="0" fontId="19" fillId="2" borderId="13" applyAlignment="1" pivotButton="0" quotePrefix="0" xfId="0">
      <alignment horizontal="center" vertical="center" wrapText="1"/>
    </xf>
    <xf numFmtId="0" fontId="20" fillId="2" borderId="42" applyAlignment="1" pivotButton="0" quotePrefix="0" xfId="0">
      <alignment horizontal="center" vertical="center" wrapText="1"/>
    </xf>
    <xf numFmtId="0" fontId="20" fillId="2" borderId="25" applyAlignment="1" pivotButton="0" quotePrefix="0" xfId="0">
      <alignment horizontal="center" vertical="center" wrapText="1"/>
    </xf>
    <xf numFmtId="0" fontId="17" fillId="3" borderId="42" applyAlignment="1" pivotButton="0" quotePrefix="0" xfId="0">
      <alignment horizontal="center" vertical="center" wrapText="1"/>
    </xf>
    <xf numFmtId="0" fontId="17" fillId="3" borderId="44" applyAlignment="1" pivotButton="0" quotePrefix="0" xfId="0">
      <alignment horizontal="center" vertical="center" wrapText="1"/>
    </xf>
    <xf numFmtId="0" fontId="17" fillId="3" borderId="25" applyAlignment="1" pivotButton="0" quotePrefix="0" xfId="0">
      <alignment horizontal="center" vertical="center" wrapText="1"/>
    </xf>
    <xf numFmtId="0" fontId="17" fillId="3" borderId="23" applyAlignment="1" pivotButton="0" quotePrefix="0" xfId="0">
      <alignment horizontal="center" vertical="center" wrapText="1"/>
    </xf>
    <xf numFmtId="0" fontId="17" fillId="3" borderId="31" applyAlignment="1" pivotButton="0" quotePrefix="0" xfId="0">
      <alignment horizontal="center" vertical="center" wrapText="1"/>
    </xf>
    <xf numFmtId="0" fontId="17" fillId="3" borderId="4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6" fillId="3" borderId="14" applyAlignment="1" pivotButton="0" quotePrefix="0" xfId="0">
      <alignment horizontal="center" vertical="center"/>
    </xf>
    <xf numFmtId="0" fontId="16" fillId="3" borderId="32" applyAlignment="1" pivotButton="0" quotePrefix="0" xfId="0">
      <alignment horizontal="center" vertical="center"/>
    </xf>
    <xf numFmtId="0" fontId="16" fillId="3" borderId="48" applyAlignment="1" pivotButton="0" quotePrefix="0" xfId="0">
      <alignment horizontal="center" vertical="center"/>
    </xf>
    <xf numFmtId="0" fontId="16" fillId="3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  <xf numFmtId="0" fontId="11" fillId="0" borderId="50" applyAlignment="1" pivotButton="0" quotePrefix="0" xfId="0">
      <alignment horizontal="center" vertical="center" wrapText="1"/>
    </xf>
    <xf numFmtId="0" fontId="0" fillId="0" borderId="27" pivotButton="0" quotePrefix="0" xfId="0"/>
    <xf numFmtId="0" fontId="9" fillId="0" borderId="50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 wrapText="1"/>
    </xf>
    <xf numFmtId="0" fontId="0" fillId="0" borderId="12" pivotButton="0" quotePrefix="0" xfId="0"/>
    <xf numFmtId="0" fontId="14" fillId="0" borderId="5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8" pivotButton="0" quotePrefix="0" xfId="0"/>
    <xf numFmtId="0" fontId="15" fillId="4" borderId="34" applyAlignment="1" pivotButton="0" quotePrefix="0" xfId="0">
      <alignment horizontal="center" vertical="center" textRotation="90" wrapText="1"/>
    </xf>
    <xf numFmtId="0" fontId="11" fillId="4" borderId="54" applyAlignment="1" pivotButton="0" quotePrefix="0" xfId="0">
      <alignment horizontal="center" vertical="center" textRotation="90" wrapText="1"/>
    </xf>
    <xf numFmtId="0" fontId="11" fillId="3" borderId="34" applyAlignment="1" pivotButton="0" quotePrefix="0" xfId="0">
      <alignment horizontal="center" vertical="center" textRotation="90" wrapText="1"/>
    </xf>
    <xf numFmtId="0" fontId="0" fillId="0" borderId="28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9" pivotButton="0" quotePrefix="0" xfId="0"/>
    <xf numFmtId="0" fontId="0" fillId="0" borderId="31" pivotButton="0" quotePrefix="0" xfId="0"/>
    <xf numFmtId="0" fontId="0" fillId="0" borderId="15" pivotButton="0" quotePrefix="0" xfId="0"/>
    <xf numFmtId="0" fontId="0" fillId="0" borderId="43" pivotButton="0" quotePrefix="0" xfId="0"/>
    <xf numFmtId="0" fontId="2" fillId="0" borderId="56" applyAlignment="1" pivotButton="0" quotePrefix="0" xfId="0">
      <alignment horizontal="center" vertical="center" textRotation="90" wrapText="1"/>
    </xf>
    <xf numFmtId="0" fontId="7" fillId="4" borderId="47" applyAlignment="1" pivotButton="0" quotePrefix="0" xfId="0">
      <alignment horizontal="left" vertical="center" textRotation="90" wrapText="1"/>
    </xf>
    <xf numFmtId="0" fontId="0" fillId="0" borderId="6" pivotButton="0" quotePrefix="0" xfId="0"/>
    <xf numFmtId="0" fontId="0" fillId="0" borderId="32" pivotButton="0" quotePrefix="0" xfId="0"/>
    <xf numFmtId="0" fontId="0" fillId="0" borderId="55" pivotButton="0" quotePrefix="0" xfId="0"/>
    <xf numFmtId="0" fontId="0" fillId="0" borderId="21" pivotButton="0" quotePrefix="0" xfId="0"/>
    <xf numFmtId="0" fontId="0" fillId="0" borderId="35" pivotButton="0" quotePrefix="0" xfId="0"/>
    <xf numFmtId="0" fontId="11" fillId="2" borderId="22" applyAlignment="1" pivotButton="0" quotePrefix="0" xfId="0">
      <alignment horizontal="center" vertical="center"/>
    </xf>
    <xf numFmtId="0" fontId="11" fillId="2" borderId="49" applyAlignment="1" pivotButton="0" quotePrefix="0" xfId="0">
      <alignment horizontal="center" vertical="center"/>
    </xf>
    <xf numFmtId="0" fontId="17" fillId="3" borderId="24" applyAlignment="1" pivotButton="0" quotePrefix="0" xfId="0">
      <alignment horizontal="center" vertical="center" wrapText="1"/>
    </xf>
    <xf numFmtId="0" fontId="17" fillId="3" borderId="9" applyAlignment="1" pivotButton="0" quotePrefix="0" xfId="0">
      <alignment horizontal="center" vertical="center" wrapText="1"/>
    </xf>
    <xf numFmtId="0" fontId="19" fillId="4" borderId="9" applyAlignment="1" pivotButton="0" quotePrefix="0" xfId="0">
      <alignment horizontal="center" vertical="center" wrapText="1"/>
    </xf>
    <xf numFmtId="0" fontId="17" fillId="3" borderId="22" applyAlignment="1" pivotButton="0" quotePrefix="0" xfId="0">
      <alignment horizontal="center" vertical="center" wrapText="1"/>
    </xf>
    <xf numFmtId="0" fontId="19" fillId="4" borderId="22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0" fillId="0" borderId="44" pivotButton="0" quotePrefix="0" xfId="0"/>
    <xf numFmtId="0" fontId="20" fillId="2" borderId="26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2" applyAlignment="1" pivotButton="0" quotePrefix="0" xfId="0">
      <alignment horizontal="center" vertical="center" wrapText="1"/>
    </xf>
    <xf numFmtId="0" fontId="20" fillId="2" borderId="22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20" fillId="2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3" pivotButton="0" quotePrefix="0" xfId="0"/>
    <xf numFmtId="0" fontId="1" fillId="0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6" fillId="3" borderId="52" applyAlignment="1" pivotButton="0" quotePrefix="0" xfId="0">
      <alignment horizontal="center" vertical="center"/>
    </xf>
    <xf numFmtId="0" fontId="16" fillId="3" borderId="53" applyAlignment="1" pivotButton="0" quotePrefix="0" xfId="0">
      <alignment horizontal="center" vertical="center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2:BS7"/>
  <sheetViews>
    <sheetView tabSelected="1" zoomScale="85" zoomScaleNormal="85" workbookViewId="0">
      <pane xSplit="12" ySplit="5" topLeftCell="M6" activePane="bottomRight" state="frozen"/>
      <selection pane="topRight" activeCell="A1" sqref="A1"/>
      <selection pane="bottomLeft" activeCell="A1" sqref="A1"/>
      <selection pane="bottomRight" activeCell="M7" sqref="M7"/>
    </sheetView>
  </sheetViews>
  <sheetFormatPr baseColWidth="8" defaultRowHeight="15"/>
  <cols>
    <col width="6.28515625" customWidth="1" min="1" max="1"/>
    <col width="5.7109375" customWidth="1" min="2" max="2"/>
    <col width="12" customWidth="1" style="163" min="3" max="3"/>
    <col width="15.42578125" customWidth="1" min="4" max="4"/>
    <col width="6.28515625" customWidth="1" min="5" max="6"/>
    <col width="31.42578125" customWidth="1" min="7" max="7"/>
    <col width="21.28515625" customWidth="1" min="8" max="8"/>
    <col width="20.85546875" customWidth="1" min="9" max="9"/>
    <col width="29.7109375" customWidth="1" min="10" max="10"/>
    <col width="6.7109375" customWidth="1" min="11" max="11"/>
    <col width="19.42578125" customWidth="1" min="12" max="12"/>
    <col width="12.42578125" customWidth="1" style="163" min="13" max="13"/>
    <col width="8.7109375" customWidth="1" style="163" min="14" max="14"/>
    <col width="8.7109375" customWidth="1" style="240" min="15" max="15"/>
    <col width="10.28515625" customWidth="1" min="16" max="16"/>
    <col width="7.28515625" customWidth="1" min="17" max="17"/>
    <col width="26.28515625" customWidth="1" min="18" max="18"/>
    <col width="20.7109375" customWidth="1" min="19" max="19"/>
    <col width="11.7109375" customWidth="1" style="163" min="20" max="20"/>
    <col width="16.42578125" customWidth="1" min="21" max="22"/>
    <col width="12" customWidth="1" min="23" max="23"/>
    <col width="11.7109375" customWidth="1" min="24" max="24"/>
    <col width="11.28515625" customWidth="1" min="25" max="25"/>
    <col width="12" customWidth="1" min="26" max="26"/>
    <col width="11" customWidth="1" min="27" max="27"/>
    <col width="20.28515625" customWidth="1" style="163" min="28" max="28"/>
    <col width="20.140625" customWidth="1" style="163" min="29" max="29"/>
    <col width="18" customWidth="1" min="30" max="30"/>
    <col width="14.28515625" customWidth="1" min="31" max="31"/>
    <col width="14.85546875" customWidth="1" min="32" max="32"/>
    <col width="10.140625" customWidth="1" min="33" max="33"/>
    <col width="13" customWidth="1" min="34" max="34"/>
    <col width="20.5703125" customWidth="1" min="35" max="35"/>
    <col width="10.28515625" customWidth="1" style="163" min="36" max="36"/>
    <col width="10.28515625" customWidth="1" style="10" min="37" max="38"/>
    <col width="10.28515625" customWidth="1" style="153" min="39" max="39"/>
    <col width="9" customWidth="1" style="153" min="40" max="41"/>
    <col width="9.7109375" customWidth="1" style="199" min="42" max="43"/>
    <col width="11" customWidth="1" style="163" min="44" max="44"/>
    <col width="23.140625" customWidth="1" min="45" max="45"/>
    <col width="22" customWidth="1" min="46" max="46"/>
    <col width="18.28515625" customWidth="1" min="47" max="47"/>
    <col width="19.85546875" customWidth="1" min="48" max="48"/>
    <col width="20.5703125" customWidth="1" min="49" max="49"/>
    <col width="14.85546875" customWidth="1" min="50" max="54"/>
    <col width="19.140625" customWidth="1" min="55" max="55"/>
    <col width="15" customWidth="1" min="56" max="56"/>
    <col width="12.42578125" customWidth="1" min="57" max="57"/>
    <col width="12" customWidth="1" min="58" max="58"/>
    <col width="13.28515625" customWidth="1" min="59" max="59"/>
    <col width="15.140625" customWidth="1" min="60" max="61"/>
    <col width="16.5703125" customWidth="1" min="62" max="62"/>
    <col width="13.5703125" customWidth="1" min="63" max="63"/>
    <col width="17.140625" customWidth="1" min="64" max="64"/>
    <col width="14.7109375" customWidth="1" min="65" max="65"/>
    <col width="13.28515625" customWidth="1" min="66" max="66"/>
    <col width="9.140625" customWidth="1" min="67" max="67"/>
    <col width="13.42578125" customWidth="1" min="68" max="68"/>
    <col width="9.140625" customWidth="1" min="69" max="69"/>
    <col width="1" customWidth="1" min="70" max="70"/>
    <col width="9.140625" customWidth="1" min="71" max="73"/>
  </cols>
  <sheetData>
    <row r="1"/>
    <row r="2" ht="34.5" customHeight="1">
      <c r="A2" s="333" t="inlineStr">
        <is>
          <t>Електронна таблиця
даних про ідентифікацію активів станом на 02.10.2026</t>
        </is>
      </c>
      <c r="K2" s="327" t="n"/>
      <c r="L2" s="327" t="n"/>
      <c r="M2" s="327" t="n"/>
      <c r="N2" s="327" t="n"/>
      <c r="O2" s="327" t="n"/>
      <c r="P2" s="327" t="n"/>
      <c r="Q2" s="327" t="n"/>
      <c r="R2" s="327" t="n"/>
      <c r="S2" s="327" t="n"/>
      <c r="T2" s="327" t="n"/>
      <c r="U2" s="327" t="n"/>
      <c r="V2" s="327" t="n"/>
      <c r="W2" s="327" t="n"/>
      <c r="X2" s="327" t="n"/>
      <c r="Y2" s="327" t="n"/>
      <c r="Z2" s="327" t="n"/>
      <c r="AA2" s="327" t="n"/>
      <c r="AB2" s="327" t="n"/>
      <c r="AC2" s="327" t="n"/>
      <c r="AD2" s="327" t="n"/>
      <c r="AE2" s="327" t="n"/>
      <c r="AF2" s="327" t="n"/>
      <c r="AG2" s="327" t="n"/>
      <c r="AH2" s="327" t="n"/>
      <c r="AI2" s="327" t="n"/>
      <c r="AJ2" s="327" t="n"/>
      <c r="AK2" s="327" t="n"/>
      <c r="AL2" s="327" t="n"/>
      <c r="AM2" s="327" t="n"/>
      <c r="AN2" s="237" t="n"/>
      <c r="AO2" s="237" t="n"/>
      <c r="AP2" s="198" t="n"/>
      <c r="AQ2" s="198" t="n"/>
      <c r="AR2" s="162" t="n"/>
    </row>
    <row r="3" ht="18.75" customFormat="1" customHeight="1" s="13">
      <c r="A3" s="331" t="n">
        <v>1</v>
      </c>
      <c r="B3" s="432" t="n"/>
      <c r="C3" s="432" t="n"/>
      <c r="D3" s="432" t="n"/>
      <c r="E3" s="432" t="n"/>
      <c r="F3" s="432" t="n"/>
      <c r="G3" s="331" t="n">
        <v>2</v>
      </c>
      <c r="H3" s="432" t="n"/>
      <c r="I3" s="432" t="n"/>
      <c r="J3" s="332" t="n">
        <v>3</v>
      </c>
      <c r="K3" s="432" t="n"/>
      <c r="L3" s="432" t="n"/>
      <c r="M3" s="432" t="n"/>
      <c r="N3" s="432" t="n"/>
      <c r="O3" s="432" t="n"/>
      <c r="P3" s="432" t="n"/>
      <c r="Q3" s="432" t="n"/>
      <c r="R3" s="332" t="n">
        <v>4</v>
      </c>
      <c r="S3" s="432" t="n"/>
      <c r="T3" s="432" t="n"/>
      <c r="U3" s="332" t="n">
        <v>5</v>
      </c>
      <c r="V3" s="432" t="n"/>
      <c r="W3" s="432" t="n"/>
      <c r="X3" s="432" t="n"/>
      <c r="Y3" s="432" t="n"/>
      <c r="Z3" s="432" t="n"/>
      <c r="AA3" s="432" t="n"/>
      <c r="AB3" s="332" t="n">
        <v>6</v>
      </c>
      <c r="AC3" s="432" t="n"/>
      <c r="AD3" s="432" t="n"/>
      <c r="AE3" s="332" t="n">
        <v>7</v>
      </c>
      <c r="AF3" s="432" t="n"/>
      <c r="AG3" s="432" t="n"/>
      <c r="AH3" s="432" t="n"/>
      <c r="AI3" s="332" t="n">
        <v>8</v>
      </c>
      <c r="AJ3" s="432" t="n"/>
      <c r="AK3" s="432" t="n"/>
      <c r="AL3" s="432" t="n"/>
      <c r="AM3" s="432" t="n"/>
      <c r="AN3" s="432" t="n"/>
      <c r="AO3" s="432" t="n"/>
      <c r="AP3" s="432" t="n"/>
      <c r="AQ3" s="432" t="n"/>
      <c r="AR3" s="432" t="n"/>
      <c r="AS3" s="332" t="n">
        <v>9</v>
      </c>
      <c r="AT3" s="432" t="n"/>
      <c r="AU3" s="432" t="n"/>
      <c r="AV3" s="432" t="n"/>
      <c r="AW3" s="432" t="n"/>
      <c r="AX3" s="432" t="n"/>
      <c r="AY3" s="332" t="n">
        <v>10</v>
      </c>
      <c r="AZ3" s="432" t="n"/>
      <c r="BA3" s="432" t="n"/>
      <c r="BB3" s="432" t="n"/>
      <c r="BC3" s="337" t="n">
        <v>11</v>
      </c>
    </row>
    <row r="4" ht="33" customHeight="1">
      <c r="A4" s="338" t="inlineStr">
        <is>
          <t>РЕЄСТРАЦІЯ ЗВЕРНЕННЯ</t>
        </is>
      </c>
      <c r="B4" s="432" t="n"/>
      <c r="C4" s="432" t="n"/>
      <c r="D4" s="432" t="n"/>
      <c r="E4" s="432" t="n"/>
      <c r="F4" s="433" t="n"/>
      <c r="G4" s="434" t="inlineStr">
        <is>
          <t>СУДОВЕ РІШЕННЯ ТА КРИМІНАЛЬНЕ ПРОВАДЖЕННЯ</t>
        </is>
      </c>
      <c r="H4" s="432" t="n"/>
      <c r="I4" s="435" t="n"/>
      <c r="J4" s="436" t="inlineStr">
        <is>
          <t>ВІДОМОСТІ ПРО АКТИВ</t>
        </is>
      </c>
      <c r="K4" s="432" t="n"/>
      <c r="L4" s="432" t="n"/>
      <c r="M4" s="432" t="n"/>
      <c r="N4" s="432" t="n"/>
      <c r="O4" s="432" t="n"/>
      <c r="P4" s="432" t="n"/>
      <c r="Q4" s="435" t="n"/>
      <c r="R4" s="436" t="inlineStr">
        <is>
          <t>ВЛАСНИК ТА МІСЦЕЗНАХОДЖЕННЯ АКТИВУ</t>
        </is>
      </c>
      <c r="S4" s="432" t="n"/>
      <c r="T4" s="435" t="n"/>
      <c r="U4" s="328" t="inlineStr">
        <is>
          <t>КОРИСТУВАЧ / ОРЕНДАР ТА ПІДСТАВИ КОРИСТУВАННЯ АКТИВОМ</t>
        </is>
      </c>
      <c r="V4" s="432" t="n"/>
      <c r="W4" s="432" t="n"/>
      <c r="X4" s="432" t="n"/>
      <c r="Y4" s="432" t="n"/>
      <c r="Z4" s="432" t="n"/>
      <c r="AA4" s="432" t="n"/>
      <c r="AB4" s="436" t="inlineStr">
        <is>
          <t>КОНТРОЛЬ ВИКОНАННЯ</t>
        </is>
      </c>
      <c r="AC4" s="432" t="n"/>
      <c r="AD4" s="435" t="n"/>
      <c r="AE4" s="436" t="inlineStr">
        <is>
          <t>ОГЛЯД ТА ФАКТИЧНИЙ СТАН АКТИВУ</t>
        </is>
      </c>
      <c r="AF4" s="432" t="n"/>
      <c r="AG4" s="432" t="n"/>
      <c r="AH4" s="435" t="n"/>
      <c r="AI4" s="436" t="inlineStr">
        <is>
          <t>ВИСНОВОК ТА РЕЗУЛЬТАТ ІДЕНТИФІКАЦІЇ</t>
        </is>
      </c>
      <c r="AJ4" s="432" t="n"/>
      <c r="AK4" s="432" t="n"/>
      <c r="AL4" s="432" t="n"/>
      <c r="AM4" s="432" t="n"/>
      <c r="AN4" s="432" t="n"/>
      <c r="AO4" s="432" t="n"/>
      <c r="AP4" s="432" t="n"/>
      <c r="AQ4" s="432" t="n"/>
      <c r="AR4" s="435" t="n"/>
      <c r="AS4" s="330" t="inlineStr">
        <is>
          <t>ПЕРЕДАЧА АКТИВУ В УПРАВЛІННЯ АРМА</t>
        </is>
      </c>
      <c r="AT4" s="432" t="n"/>
      <c r="AU4" s="432" t="n"/>
      <c r="AV4" s="432" t="n"/>
      <c r="AW4" s="432" t="n"/>
      <c r="AX4" s="435" t="n"/>
      <c r="AY4" s="436" t="inlineStr">
        <is>
          <t>ПРОВЕДЕННЯ ОЦІНКИ</t>
        </is>
      </c>
      <c r="AZ4" s="432" t="n"/>
      <c r="BA4" s="432" t="n"/>
      <c r="BB4" s="435" t="n"/>
      <c r="BC4" s="437" t="inlineStr">
        <is>
          <t>ЗБЕРІГАННЯ ТА ПЕРЕДАЧА АКТИВУ В УПРАВЛІННЯ</t>
        </is>
      </c>
      <c r="BD4" s="438" t="n"/>
      <c r="BE4" s="438" t="n"/>
      <c r="BF4" s="438" t="n"/>
      <c r="BG4" s="438" t="n"/>
      <c r="BH4" s="438" t="n"/>
      <c r="BI4" s="438" t="n"/>
      <c r="BJ4" s="438" t="n"/>
      <c r="BK4" s="438" t="n"/>
      <c r="BL4" s="438" t="n"/>
      <c r="BM4" s="438" t="n"/>
      <c r="BN4" s="438" t="n"/>
      <c r="BO4" s="438" t="n"/>
      <c r="BP4" s="286" t="n"/>
    </row>
    <row r="5" ht="61.5" customHeight="1">
      <c r="A5" s="146" t="inlineStr">
        <is>
          <t>Звернення № з/п</t>
        </is>
      </c>
      <c r="B5" s="147" t="inlineStr">
        <is>
          <t>Звернення № з/п</t>
        </is>
      </c>
      <c r="C5" s="146" t="inlineStr">
        <is>
          <t>Дата надходження звернення до АРМА, вхідний реєстраційний №</t>
        </is>
      </c>
      <c r="D5" s="146" t="inlineStr">
        <is>
          <t>Орган, що надіслав звернення, вихідний реєстраційний №</t>
        </is>
      </c>
      <c r="E5" s="146" t="inlineStr">
        <is>
          <t>Ухвала суду № з/п</t>
        </is>
      </c>
      <c r="F5" s="166" t="inlineStr">
        <is>
          <t>Ухвала суду № з/п</t>
        </is>
      </c>
      <c r="G5" s="169" t="inlineStr">
        <is>
          <t>Реквізити судового рішення (ухвала)</t>
        </is>
      </c>
      <c r="H5" s="146" t="inlineStr">
        <is>
          <t>Дата, № кримінального провадження</t>
        </is>
      </c>
      <c r="I5" s="175" t="inlineStr">
        <is>
          <t>Обмеження щодо активу / стан арешту</t>
        </is>
      </c>
      <c r="J5" s="172" t="inlineStr">
        <is>
          <t>Актив</t>
        </is>
      </c>
      <c r="K5" s="146" t="inlineStr">
        <is>
          <t>Записів</t>
        </is>
      </c>
      <c r="L5" s="147" t="inlineStr">
        <is>
          <t>Актв</t>
        </is>
      </c>
      <c r="M5" s="146" t="inlineStr">
        <is>
          <t>Вид активу</t>
        </is>
      </c>
      <c r="N5" s="146" t="inlineStr">
        <is>
          <t>Тип активу</t>
        </is>
      </c>
      <c r="O5" s="146" t="inlineStr">
        <is>
          <t>Пул</t>
        </is>
      </c>
      <c r="P5" s="147" t="inlineStr">
        <is>
          <t>Складний</t>
        </is>
      </c>
      <c r="Q5" s="166" t="inlineStr">
        <is>
          <t>Простий</t>
        </is>
      </c>
      <c r="R5" s="169" t="inlineStr">
        <is>
          <t>Власник / ЄДРПОУ / РНОКПП</t>
        </is>
      </c>
      <c r="S5" s="146" t="inlineStr">
        <is>
          <t>Місцезнаходження</t>
        </is>
      </c>
      <c r="T5" s="175" t="inlineStr">
        <is>
          <t>Юрисдикція МТУ</t>
        </is>
      </c>
      <c r="U5" s="172" t="inlineStr">
        <is>
          <t>Статус користувача / орендаря</t>
        </is>
      </c>
      <c r="V5" s="146" t="inlineStr">
        <is>
          <t>Повне найменування юридичної особи / ПІБ. 
ЄДРПОУ / РНОКПП</t>
        </is>
      </c>
      <c r="W5" s="146" t="inlineStr">
        <is>
          <t xml:space="preserve">	Місцезнаходження / місце проживання</t>
        </is>
      </c>
      <c r="X5" s="146" t="inlineStr">
        <is>
          <t>Підстава користування активом</t>
        </is>
      </c>
      <c r="Y5" s="146" t="inlineStr">
        <is>
          <t>Реквізити документа, що підтверджує право користування</t>
        </is>
      </c>
      <c r="Z5" s="146" t="inlineStr">
        <is>
          <t>Дата початку / закінчення користування</t>
        </is>
      </c>
      <c r="AA5" s="185" t="inlineStr">
        <is>
          <t xml:space="preserve">	Контактні дані</t>
        </is>
      </c>
      <c r="AB5" s="169" t="inlineStr">
        <is>
          <t>Доручення дата / № передачі до МТУ</t>
        </is>
      </c>
      <c r="AC5" s="146" t="inlineStr">
        <is>
          <t>Продовження доручення</t>
        </is>
      </c>
      <c r="AD5" s="175" t="inlineStr">
        <is>
          <t>Листування з державними органами</t>
        </is>
      </c>
      <c r="AE5" s="172" t="inlineStr">
        <is>
          <t>Актив використовується / не використовується</t>
        </is>
      </c>
      <c r="AF5" s="146" t="inlineStr">
        <is>
          <t>Фізичний стан</t>
        </is>
      </c>
      <c r="AG5" s="146" t="inlineStr">
        <is>
          <t>Дата огляду</t>
        </is>
      </c>
      <c r="AH5" s="185" t="inlineStr">
        <is>
          <t>Заходи реагування</t>
        </is>
      </c>
      <c r="AI5" s="169" t="inlineStr">
        <is>
          <t>Причини, що унеможливлюють управління</t>
        </is>
      </c>
      <c r="AJ5" s="146" t="inlineStr">
        <is>
          <t>Дата підписання висновку</t>
        </is>
      </c>
      <c r="AK5" s="35" t="inlineStr">
        <is>
          <t>Ідентифіковано Складний актив</t>
        </is>
      </c>
      <c r="AL5" s="35" t="inlineStr">
        <is>
          <t>Ідентифіковано Простий актив</t>
        </is>
      </c>
      <c r="AM5" s="161" t="inlineStr">
        <is>
          <t>Всього Ідентифіковано активів</t>
        </is>
      </c>
      <c r="AN5" s="161" t="inlineStr">
        <is>
          <t>Можливе</t>
        </is>
      </c>
      <c r="AO5" s="161" t="inlineStr">
        <is>
          <t>Не
 можливе</t>
        </is>
      </c>
      <c r="AP5" s="146" t="inlineStr">
        <is>
          <t>Результат ідентифікації</t>
        </is>
      </c>
      <c r="AQ5" s="166" t="inlineStr">
        <is>
          <t>К-ть Висновків</t>
        </is>
      </c>
      <c r="AR5" s="185" t="inlineStr">
        <is>
          <t>Дата направлення висновку до прокуратури</t>
        </is>
      </c>
      <c r="AS5" s="193" t="inlineStr">
        <is>
          <t xml:space="preserve">Реєстраційний № / дата надходження звернення прокурора / ухвали суду про взяття активу в управління  </t>
        </is>
      </c>
      <c r="AT5" s="15" t="inlineStr">
        <is>
          <t>Доручення АРМА №/дата -МТУ про проведення огляду та підготовку акту прийому передачі</t>
        </is>
      </c>
      <c r="AU5" s="15" t="inlineStr">
        <is>
          <t>Реєстраційний №/ дата направлення супровідного листа з актом прийому передачі до прокуратури</t>
        </is>
      </c>
      <c r="AV5" s="15" t="inlineStr">
        <is>
          <t>Дата, вихідний номер листа щодо повернення акту прийому передачі активу із прокуратури</t>
        </is>
      </c>
      <c r="AW5" s="15" t="inlineStr">
        <is>
          <t>Дата, вхідний номер листа прокуратури щодо підписання акту передачі активу АРМА</t>
        </is>
      </c>
      <c r="AX5" s="26" t="inlineStr">
        <is>
          <t>Акт приймання-передачі активу від прокурора до АРМА № / дата</t>
        </is>
      </c>
      <c r="AY5" s="15" t="inlineStr">
        <is>
          <t>Дата проведення оцінки</t>
        </is>
      </c>
      <c r="AZ5" s="15" t="inlineStr">
        <is>
          <t>Найменування юридичної або фізичної особи, яка проводила оцінку</t>
        </is>
      </c>
      <c r="BA5" s="15" t="inlineStr">
        <is>
          <t>Код ЄДРПОУ / РНОКПП оцінювача</t>
        </is>
      </c>
      <c r="BB5" s="27" t="inlineStr">
        <is>
          <t xml:space="preserve">Вартість оцінки, тис. грн
</t>
        </is>
      </c>
      <c r="BC5" s="28" t="inlineStr">
        <is>
          <t>Акт приймання-передачі активу АРМА суб’єкту господарювання (зберігачу) № / дата</t>
        </is>
      </c>
      <c r="BD5" s="15" t="inlineStr">
        <is>
          <t>Договір прийняття активу на зберігання № / дата</t>
        </is>
      </c>
      <c r="BE5" s="15" t="inlineStr">
        <is>
          <t>Найменування суб’єкта господарювання (зберігача)</t>
        </is>
      </c>
      <c r="BF5" s="15" t="inlineStr">
        <is>
          <t>Код ЄДРПОУ / РНОКПП зберігача</t>
        </is>
      </c>
      <c r="BG5" s="15" t="inlineStr">
        <is>
          <t>Вид забезпечення зберігання активу</t>
        </is>
      </c>
      <c r="BH5" s="15" t="inlineStr">
        <is>
          <t xml:space="preserve">	Місце зберігання активу</t>
        </is>
      </c>
      <c r="BI5" s="15" t="inlineStr">
        <is>
          <t xml:space="preserve">	Орієнтовні витрати на зберігання, грн/місяць</t>
        </is>
      </c>
      <c r="BJ5" s="15" t="inlineStr">
        <is>
          <t>Дата початку зберігання</t>
        </is>
      </c>
      <c r="BK5" s="15" t="inlineStr">
        <is>
          <t>Дата завершення зберігання</t>
        </is>
      </c>
      <c r="BL5" s="15" t="inlineStr">
        <is>
          <t>Акт приймання-передачі активу від зберігача до АРМА № / дат</t>
        </is>
      </c>
      <c r="BM5" s="15" t="inlineStr">
        <is>
          <t xml:space="preserve">	Акт приймання-передачі активу від АРМА управителю № / дата</t>
        </is>
      </c>
      <c r="BN5" s="15" t="inlineStr">
        <is>
          <t xml:space="preserve">	Договір управління активом № / дата</t>
        </is>
      </c>
      <c r="BO5" s="15" t="inlineStr">
        <is>
          <t xml:space="preserve">	Найменування управителя активу</t>
        </is>
      </c>
      <c r="BP5" s="197" t="inlineStr">
        <is>
          <t xml:space="preserve">Код ЄДРПОУ / РНОКПП управителя
</t>
        </is>
      </c>
    </row>
    <row r="6" ht="27" customHeight="1">
      <c r="A6" s="87" t="n">
        <v>24</v>
      </c>
      <c r="B6" s="148">
        <f>SUM(B7:B299)</f>
        <v/>
      </c>
      <c r="C6" s="87" t="n"/>
      <c r="D6" s="87" t="n"/>
      <c r="E6" s="87" t="n">
        <v>39</v>
      </c>
      <c r="F6" s="167">
        <f>SUM(F7:F299)</f>
        <v/>
      </c>
      <c r="G6" s="84" t="n"/>
      <c r="H6" s="87" t="n"/>
      <c r="I6" s="176" t="n"/>
      <c r="J6" s="173" t="n"/>
      <c r="K6" s="87">
        <f>SUM(K7:K299)</f>
        <v/>
      </c>
      <c r="L6" s="148">
        <f>SUM(L7:L299)</f>
        <v/>
      </c>
      <c r="M6" s="87" t="n"/>
      <c r="N6" s="87" t="n"/>
      <c r="O6" s="87" t="n"/>
      <c r="P6" s="148">
        <f>SUM(P7:P299)</f>
        <v/>
      </c>
      <c r="Q6" s="148">
        <f>SUM(Q7:Q299)</f>
        <v/>
      </c>
      <c r="R6" s="169" t="n"/>
      <c r="S6" s="146" t="n"/>
      <c r="T6" s="175" t="n"/>
      <c r="U6" s="172" t="n"/>
      <c r="V6" s="146" t="n"/>
      <c r="W6" s="146" t="n"/>
      <c r="X6" s="146" t="n"/>
      <c r="Y6" s="146" t="n"/>
      <c r="Z6" s="146" t="n"/>
      <c r="AA6" s="146" t="n"/>
      <c r="AB6" s="146" t="n"/>
      <c r="AC6" s="146" t="n"/>
      <c r="AD6" s="175" t="n"/>
      <c r="AE6" s="172" t="n"/>
      <c r="AF6" s="146" t="n"/>
      <c r="AG6" s="146" t="n"/>
      <c r="AH6" s="146" t="n"/>
      <c r="AI6" s="146" t="n"/>
      <c r="AJ6" s="146" t="n"/>
      <c r="AK6" s="149">
        <f>SUM(AK7:AK299)</f>
        <v/>
      </c>
      <c r="AL6" s="149">
        <f>SUM(AL7:AL299)</f>
        <v/>
      </c>
      <c r="AM6" s="149">
        <f>SUM(AM7:AM299)</f>
        <v/>
      </c>
      <c r="AN6" s="149">
        <f>SUM(AN7:AN299)</f>
        <v/>
      </c>
      <c r="AO6" s="149">
        <f>SUM(AO7:AO299)</f>
        <v/>
      </c>
      <c r="AP6" s="146" t="n"/>
      <c r="AQ6" s="148">
        <f>SUM(AQ7:AQ299)</f>
        <v/>
      </c>
      <c r="AR6" s="185" t="n"/>
      <c r="AS6" s="193" t="n"/>
      <c r="AT6" s="15" t="n"/>
      <c r="AU6" s="15" t="n"/>
      <c r="AV6" s="15" t="n"/>
      <c r="AW6" s="15" t="n"/>
      <c r="AX6" s="34" t="n"/>
      <c r="AY6" s="15" t="n"/>
      <c r="AZ6" s="15" t="n"/>
      <c r="BA6" s="15" t="n"/>
      <c r="BB6" s="27" t="n"/>
      <c r="BC6" s="193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29" t="n"/>
      <c r="BS6" s="143" t="n"/>
    </row>
    <row r="7" ht="58.5" customFormat="1" customHeight="1" s="10">
      <c r="A7" s="11" t="n"/>
      <c r="B7" s="35" t="n"/>
      <c r="C7" s="11" t="n"/>
      <c r="D7" s="204" t="n"/>
      <c r="E7" s="11" t="n"/>
      <c r="F7" s="168" t="n"/>
      <c r="G7" s="170" t="n"/>
      <c r="H7" s="204" t="n"/>
      <c r="I7" s="228" t="n"/>
      <c r="J7" s="174" t="n"/>
      <c r="K7" s="11" t="n"/>
      <c r="L7" s="35" t="n"/>
      <c r="M7" s="11" t="n"/>
      <c r="N7" s="11" t="n"/>
      <c r="O7" s="241" t="n"/>
      <c r="P7" s="35" t="n"/>
      <c r="Q7" s="291" t="n"/>
      <c r="R7" s="170" t="n"/>
      <c r="S7" s="16" t="n"/>
      <c r="T7" s="12" t="n"/>
      <c r="U7" s="182" t="n"/>
      <c r="V7" s="17" t="n"/>
      <c r="W7" s="17" t="n"/>
      <c r="X7" s="17" t="n"/>
      <c r="Y7" s="17" t="n"/>
      <c r="Z7" s="17" t="n"/>
      <c r="AA7" s="187" t="n"/>
      <c r="AB7" s="234" t="n"/>
      <c r="AC7" s="204" t="n"/>
      <c r="AD7" s="187" t="n"/>
      <c r="AE7" s="182" t="n"/>
      <c r="AF7" s="17" t="n"/>
      <c r="AG7" s="33" t="n"/>
      <c r="AH7" s="12" t="n"/>
      <c r="AI7" s="174" t="n"/>
      <c r="AJ7" s="165" t="n"/>
      <c r="AK7" s="144" t="n"/>
      <c r="AL7" s="35" t="n"/>
      <c r="AM7" s="150">
        <f>AK7+AL7</f>
        <v/>
      </c>
      <c r="AN7" s="150" t="n"/>
      <c r="AO7" s="150" t="n"/>
      <c r="AP7" s="11" t="n"/>
      <c r="AQ7" s="35" t="n"/>
      <c r="AR7" s="12" t="n"/>
      <c r="AS7" s="158" t="n"/>
      <c r="AT7" s="18" t="n"/>
      <c r="AU7" s="18" t="n"/>
      <c r="AV7" s="18" t="n"/>
      <c r="AW7" s="18" t="n"/>
      <c r="AX7" s="194" t="n"/>
      <c r="AY7" s="158" t="n"/>
      <c r="AZ7" s="18" t="n"/>
      <c r="BA7" s="18" t="n"/>
      <c r="BB7" s="194" t="n"/>
      <c r="BC7" s="15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</row>
    <row r="8" hidden="1" ht="45" customFormat="1" customHeight="1" s="10"/>
    <row r="9" hidden="1" ht="47.25" customFormat="1" customHeight="1" s="10"/>
    <row r="10" hidden="1" ht="48" customFormat="1" customHeight="1" s="10"/>
    <row r="11" hidden="1" ht="86.25" customFormat="1" customHeight="1" s="10"/>
    <row r="12" hidden="1" ht="58.5" customFormat="1" customHeight="1" s="10"/>
    <row r="13" hidden="1" ht="56.25" customFormat="1" customHeight="1" s="10"/>
    <row r="14" hidden="1" ht="57.75" customFormat="1" customHeight="1" s="10"/>
    <row r="15" hidden="1" ht="56.25" customFormat="1" customHeight="1" s="10"/>
    <row r="16" hidden="1" ht="56.25" customFormat="1" customHeight="1" s="10"/>
    <row r="17" hidden="1" ht="44.25" customFormat="1" customHeight="1" s="10"/>
    <row r="18" hidden="1" ht="47.25" customFormat="1" customHeight="1" s="10"/>
    <row r="19" hidden="1" ht="44.25" customFormat="1" customHeight="1" s="10"/>
    <row r="20" hidden="1" ht="45.75" customFormat="1" customHeight="1" s="10"/>
    <row r="21" hidden="1" ht="44.25" customFormat="1" customHeight="1" s="10"/>
    <row r="22" hidden="1" ht="45" customFormat="1" customHeight="1" s="10"/>
    <row r="23" hidden="1" ht="45" customFormat="1" customHeight="1" s="10"/>
    <row r="24" hidden="1" ht="44.25" customFormat="1" customHeight="1" s="10"/>
    <row r="25" hidden="1" ht="52.5" customFormat="1" customHeight="1" s="10"/>
    <row r="26" hidden="1" ht="63" customFormat="1" customHeight="1" s="10"/>
    <row r="27" hidden="1" ht="46.5" customFormat="1" customHeight="1" s="10"/>
    <row r="28" hidden="1" ht="44.25" customFormat="1" customHeight="1" s="10"/>
    <row r="29" hidden="1" ht="71.25" customFormat="1" customHeight="1" s="10"/>
    <row r="30" hidden="1" ht="56.25" customFormat="1" customHeight="1" s="10"/>
    <row r="31" hidden="1" ht="57.75" customFormat="1" customHeight="1" s="10"/>
    <row r="32" hidden="1" ht="56.25" customFormat="1" customHeight="1" s="10"/>
    <row r="33" hidden="1" ht="81" customFormat="1" customHeight="1" s="10"/>
    <row r="34" hidden="1" ht="73.5" customFormat="1" customHeight="1" s="10"/>
    <row r="35" hidden="1" ht="57" customFormat="1" customHeight="1" s="10"/>
    <row r="36" hidden="1" ht="54.75" customFormat="1" customHeight="1" s="10"/>
    <row r="37" hidden="1" ht="54" customFormat="1" customHeight="1" s="10"/>
    <row r="38" hidden="1" ht="54.75" customFormat="1" customHeight="1" s="10"/>
    <row r="39" hidden="1" ht="55.5" customFormat="1" customHeight="1" s="10"/>
    <row r="40" hidden="1" ht="55.5" customFormat="1" customHeight="1" s="10"/>
    <row r="41" hidden="1" ht="54.75" customFormat="1" customHeight="1" s="10"/>
    <row r="42" hidden="1" ht="55.5" customFormat="1" customHeight="1" s="10"/>
    <row r="43" hidden="1" ht="56.25" customFormat="1" customHeight="1" s="10"/>
    <row r="44" hidden="1" ht="54.75" customFormat="1" customHeight="1" s="10"/>
    <row r="45" hidden="1" ht="55.5" customFormat="1" customHeight="1" s="10"/>
    <row r="46" hidden="1" ht="56.25" customFormat="1" customHeight="1" s="10"/>
    <row r="47" hidden="1" ht="48" customFormat="1" customHeight="1" s="10"/>
    <row r="48" hidden="1" ht="67.5" customFormat="1" customHeight="1" s="10"/>
    <row r="49" hidden="1" ht="69" customFormat="1" customHeight="1" s="10"/>
    <row r="50" hidden="1" ht="57" customHeight="1"/>
    <row r="51" hidden="1" ht="57" customHeight="1"/>
    <row r="52" hidden="1" ht="57" customHeight="1"/>
    <row r="53" hidden="1" ht="65.25" customHeight="1"/>
    <row r="54" hidden="1" ht="57" customHeight="1"/>
    <row r="55" hidden="1" ht="66" customHeight="1"/>
    <row r="56" hidden="1" ht="90" customHeight="1"/>
    <row r="57" hidden="1" ht="90" customHeight="1"/>
    <row r="58" hidden="1" ht="90" customHeight="1"/>
    <row r="59" hidden="1" ht="56.25" customHeight="1"/>
    <row r="60" hidden="1" ht="55.5" customHeight="1"/>
    <row r="61" hidden="1" ht="67.5" customHeight="1"/>
    <row r="62" hidden="1" ht="55.5" customHeight="1"/>
    <row r="63" hidden="1" ht="56.25" customHeight="1"/>
    <row r="64" hidden="1" ht="57.75" customHeight="1"/>
    <row r="65" hidden="1" ht="55.5" customHeight="1"/>
    <row r="66" hidden="1" ht="55.5" customHeight="1"/>
    <row r="67" hidden="1" ht="56.25" customHeight="1"/>
    <row r="68" hidden="1" ht="57" customHeight="1"/>
    <row r="69" hidden="1" ht="56.25" customHeight="1"/>
    <row r="70" hidden="1" ht="56.25" customHeight="1"/>
    <row r="71" hidden="1" ht="55.5" customHeight="1"/>
    <row r="72" hidden="1" ht="55.5" customHeight="1"/>
    <row r="73" hidden="1" ht="58.5" customHeight="1"/>
    <row r="74" hidden="1" ht="57" customHeight="1"/>
    <row r="75" hidden="1" ht="57" customHeight="1"/>
    <row r="76" hidden="1" ht="55.5" customHeight="1"/>
    <row r="77" hidden="1" ht="57.75" customHeight="1"/>
    <row r="78" hidden="1" ht="56.25" customHeight="1"/>
    <row r="79" hidden="1" ht="56.25" customHeight="1"/>
    <row r="80" hidden="1" ht="57" customHeight="1"/>
    <row r="81" hidden="1" ht="56.25" customHeight="1"/>
    <row r="82" hidden="1" ht="57" customHeight="1"/>
    <row r="83" hidden="1" ht="57" customHeight="1"/>
    <row r="84" hidden="1" ht="58.5" customHeight="1"/>
    <row r="85" hidden="1" ht="67.5" customHeight="1"/>
    <row r="86" hidden="1" ht="66.75" customHeight="1"/>
    <row r="87" hidden="1" ht="67.5" customHeight="1"/>
    <row r="88" hidden="1" ht="66.75" customHeight="1"/>
    <row r="89" hidden="1" ht="66" customHeight="1"/>
    <row r="90" hidden="1" ht="67.5" customHeight="1"/>
    <row r="91" hidden="1" ht="68.25" customHeight="1"/>
    <row r="92" hidden="1" ht="69" customHeight="1"/>
    <row r="93" hidden="1" ht="67.5" customHeight="1"/>
    <row r="94" hidden="1" ht="68.25" customHeight="1"/>
    <row r="95" hidden="1" ht="69" customHeight="1"/>
    <row r="96" hidden="1" ht="68.25" customHeight="1"/>
    <row r="97" hidden="1" ht="66.75" customHeight="1"/>
    <row r="98" hidden="1" ht="68.25" customHeight="1"/>
    <row r="99" hidden="1" ht="68.25" customHeight="1"/>
    <row r="100" hidden="1" ht="68.25" customHeight="1"/>
    <row r="101" hidden="1" ht="69" customHeight="1"/>
    <row r="102" hidden="1" ht="68.25" customHeight="1"/>
    <row r="103" hidden="1" ht="66.75" customHeight="1"/>
    <row r="104" hidden="1" ht="67.5" customHeight="1"/>
    <row r="105" hidden="1" ht="65.25" customHeight="1"/>
    <row r="106" hidden="1" ht="66.75" customHeight="1"/>
    <row r="107" hidden="1" ht="67.5" customHeight="1"/>
    <row r="108" hidden="1" ht="68.25" customHeight="1"/>
    <row r="109" hidden="1" ht="66.75" customHeight="1"/>
    <row r="110" hidden="1" ht="67.5" customHeight="1"/>
    <row r="111" hidden="1" ht="67.5" customHeight="1"/>
    <row r="112" hidden="1" ht="68.25" customHeight="1"/>
    <row r="113" hidden="1" ht="67.5" customHeight="1"/>
    <row r="114" hidden="1" ht="67.5" customHeight="1"/>
    <row r="115" hidden="1" ht="68.25" customHeight="1"/>
    <row r="116" hidden="1" ht="68.25" customHeight="1"/>
    <row r="117" hidden="1" ht="67.5" customHeight="1"/>
    <row r="118" hidden="1" ht="67.5" customHeight="1"/>
    <row r="119" hidden="1" ht="69" customHeight="1"/>
    <row r="120" hidden="1" ht="69" customHeight="1"/>
    <row r="121" hidden="1" ht="68.25" customHeight="1"/>
    <row r="122" hidden="1" ht="59.25" customHeight="1"/>
    <row r="123" hidden="1" ht="59.25" customHeight="1"/>
    <row r="124" hidden="1" ht="57.75" customHeight="1"/>
    <row r="125" hidden="1" ht="58.5" customHeight="1"/>
    <row r="126" hidden="1" ht="59.25" customHeight="1"/>
    <row r="127" hidden="1" ht="58.5" customHeight="1"/>
    <row r="128" hidden="1" ht="67.5" customHeight="1"/>
    <row r="129" hidden="1" ht="67.5" customHeight="1"/>
    <row r="130" hidden="1" ht="69.75" customHeight="1"/>
    <row r="131" hidden="1" ht="67.5" customHeight="1"/>
    <row r="132" hidden="1" ht="57" customHeight="1"/>
    <row r="133" hidden="1" ht="57.75" customHeight="1"/>
    <row r="134" hidden="1" ht="56.25" customHeight="1"/>
    <row r="135" hidden="1" ht="53.25" customHeight="1"/>
    <row r="136" hidden="1" ht="56.25" customHeight="1"/>
    <row r="137" hidden="1" ht="58.5" customHeight="1"/>
    <row r="138" hidden="1" ht="57" customHeight="1"/>
    <row r="139" hidden="1" ht="57" customHeight="1"/>
    <row r="140" hidden="1" ht="57.75" customHeight="1"/>
    <row r="141" hidden="1" ht="69" customHeight="1"/>
    <row r="142" hidden="1" ht="101.25" customHeight="1"/>
    <row r="143" hidden="1" ht="44.25" customHeight="1"/>
    <row r="144" hidden="1" ht="57.75" customHeight="1"/>
    <row r="145" hidden="1" ht="56.25" customHeight="1"/>
    <row r="146" hidden="1" ht="68.25" customHeight="1"/>
    <row r="147" hidden="1" ht="60.75" customHeight="1"/>
    <row r="148" hidden="1" ht="101.25" customHeight="1"/>
    <row r="149" hidden="1" ht="68.25" customHeight="1"/>
    <row r="150" hidden="1" ht="48.75" customHeight="1"/>
    <row r="151" hidden="1" ht="68.25" customHeight="1"/>
    <row r="152" hidden="1" ht="67.5" customHeight="1"/>
    <row r="153" hidden="1" ht="81.75" customHeight="1"/>
    <row r="154" hidden="1" ht="73.5" customHeight="1"/>
    <row r="155" hidden="1" ht="66.75" customHeight="1"/>
    <row r="156" hidden="1" ht="47.25" customHeight="1"/>
    <row r="157" hidden="1" ht="80.25" customHeight="1"/>
    <row r="158" hidden="1" ht="48.75" customHeight="1"/>
    <row r="159" hidden="1" ht="48" customHeight="1"/>
    <row r="160" hidden="1" ht="101.25" customHeight="1"/>
    <row r="161" hidden="1" ht="213.75" customHeight="1"/>
    <row r="162" hidden="1" ht="135" customHeight="1"/>
    <row r="163" hidden="1" ht="101.25" customHeight="1"/>
    <row r="164" hidden="1" ht="101.25" customHeight="1"/>
    <row r="165" hidden="1" ht="101.25" customHeight="1"/>
    <row r="166" hidden="1" ht="101.25" customHeight="1"/>
    <row r="167" hidden="1" ht="78.75" customHeight="1"/>
    <row r="168" hidden="1" ht="123.75" customHeight="1"/>
    <row r="169" hidden="1" ht="92.25" customHeight="1"/>
    <row r="170" ht="135" customHeight="1"/>
    <row r="171" hidden="1" ht="191.25" customHeight="1"/>
    <row r="172" hidden="1" ht="92.25" customHeight="1"/>
    <row r="173" hidden="1" ht="157.5" customHeight="1"/>
    <row r="174" hidden="1" ht="92.25" customHeight="1"/>
    <row r="175" hidden="1" ht="92.25" customHeight="1"/>
    <row r="176" ht="92.25" customHeight="1"/>
    <row r="177" ht="92.25" customHeight="1"/>
    <row r="178" ht="92.25" customHeight="1"/>
    <row r="179" ht="92.25" customHeight="1"/>
    <row r="180" ht="92.25" customHeight="1"/>
    <row r="181" ht="92.25" customHeight="1"/>
    <row r="182" ht="92.25" customHeight="1"/>
    <row r="183" ht="92.25" customHeight="1"/>
    <row r="184" ht="92.25" customHeight="1"/>
    <row r="185" ht="92.25" customHeight="1"/>
    <row r="186" ht="92.25" customHeight="1"/>
    <row r="187" ht="92.25" customHeight="1"/>
    <row r="188" ht="92.25" customHeight="1"/>
    <row r="189" ht="92.25" customHeight="1"/>
    <row r="190" ht="92.25" customHeight="1"/>
    <row r="191" ht="92.25" customHeight="1"/>
    <row r="192" ht="92.25" customHeight="1"/>
    <row r="193" ht="92.25" customHeight="1"/>
    <row r="194" ht="51.75" customHeight="1"/>
    <row r="195" ht="44.25" customHeight="1"/>
    <row r="196" ht="44.25" customHeight="1"/>
    <row r="197" ht="45" customHeight="1"/>
    <row r="198" ht="45" customHeight="1"/>
    <row r="199" ht="45" customHeight="1"/>
    <row r="200" ht="45" customHeight="1"/>
    <row r="201" ht="45" customHeight="1"/>
    <row r="202" ht="44.25" customHeight="1"/>
    <row r="203" ht="44.25" customHeight="1"/>
    <row r="204" ht="44.25" customHeight="1"/>
    <row r="205" ht="45" customHeight="1"/>
    <row r="206" ht="45" customHeight="1"/>
    <row r="207" ht="45" customHeight="1"/>
    <row r="208" ht="56.25" customHeight="1"/>
    <row r="209" ht="45" customHeight="1"/>
    <row r="210" ht="45" customHeight="1"/>
    <row r="211" ht="45" customHeight="1"/>
    <row r="212" ht="45" customHeight="1"/>
    <row r="213" ht="45" customHeight="1"/>
    <row r="214" ht="45" customHeight="1"/>
    <row r="215" ht="45" customHeight="1"/>
    <row r="216" ht="45" customHeight="1"/>
    <row r="217" ht="45" customHeight="1"/>
    <row r="218" ht="44.25" customHeight="1"/>
    <row r="219" ht="44.25" customHeight="1"/>
    <row r="220" ht="45" customHeight="1"/>
    <row r="221" ht="45" customHeight="1"/>
    <row r="222" ht="44.25" customHeight="1"/>
    <row r="223" ht="45" customHeight="1"/>
    <row r="224" ht="45" customHeight="1"/>
    <row r="225" ht="45" customHeight="1"/>
    <row r="226" ht="45" customHeight="1"/>
    <row r="227" ht="44.25" customHeight="1"/>
    <row r="228" ht="44.25" customHeight="1"/>
    <row r="229" ht="44.25" customHeight="1"/>
    <row r="230" ht="44.25" customHeight="1"/>
    <row r="231" ht="45" customHeight="1"/>
    <row r="232" ht="44.25" customHeight="1"/>
    <row r="233" ht="45" customHeight="1"/>
    <row r="234" ht="44.25" customHeight="1"/>
    <row r="235" ht="45" customHeight="1"/>
    <row r="236" ht="45" customHeight="1"/>
    <row r="237" ht="45" customHeight="1"/>
    <row r="238" ht="45" customHeight="1"/>
    <row r="239" ht="45" customHeight="1"/>
    <row r="240" ht="45" customHeight="1"/>
    <row r="241" ht="45" customHeight="1"/>
    <row r="242" ht="45" customHeight="1"/>
    <row r="243" ht="45" customHeight="1"/>
    <row r="244" ht="45" customHeight="1"/>
    <row r="245" ht="45" customHeight="1"/>
    <row r="246" ht="45" customHeight="1"/>
    <row r="247" ht="45" customHeight="1"/>
    <row r="248" ht="45" customHeight="1"/>
    <row r="249" ht="44.25" customHeight="1"/>
    <row r="250" ht="44.25" customHeight="1"/>
    <row r="251" ht="44.25" customHeight="1"/>
    <row r="252" ht="45" customHeight="1"/>
    <row r="253" ht="45" customHeight="1"/>
    <row r="254" ht="45" customHeight="1"/>
    <row r="255" ht="45" customHeight="1"/>
    <row r="256" ht="45" customHeight="1"/>
    <row r="257" ht="45" customHeight="1"/>
    <row r="258" ht="45" customHeight="1"/>
    <row r="259" ht="45" customHeight="1"/>
    <row r="260" ht="45" customHeight="1"/>
    <row r="261" ht="45" customHeight="1"/>
    <row r="262" ht="45" customHeight="1"/>
    <row r="263" ht="45" customHeight="1"/>
    <row r="264" ht="45" customHeight="1"/>
    <row r="265" ht="45" customHeight="1"/>
    <row r="266" ht="45" customHeight="1"/>
    <row r="267" ht="45" customHeight="1"/>
    <row r="268" ht="44.25" customHeight="1"/>
    <row r="269" ht="45" customHeight="1"/>
    <row r="270" ht="55.5" customHeight="1"/>
    <row r="271" ht="55.5" customHeight="1"/>
    <row r="272" ht="55.5" customHeight="1"/>
    <row r="273" ht="55.5" customHeight="1"/>
    <row r="274" ht="55.5" customHeight="1"/>
    <row r="275" ht="55.5" customHeight="1"/>
    <row r="276" ht="55.5" customHeight="1"/>
  </sheetData>
  <autoFilter ref="A5:BP7"/>
  <mergeCells count="23">
    <mergeCell ref="AI3:AR3"/>
    <mergeCell ref="G3:I3"/>
    <mergeCell ref="A3:F3"/>
    <mergeCell ref="R3:T3"/>
    <mergeCell ref="AE4:AH4"/>
    <mergeCell ref="U4:AA4"/>
    <mergeCell ref="AY3:BB3"/>
    <mergeCell ref="G4:I4"/>
    <mergeCell ref="A4:F4"/>
    <mergeCell ref="AS3:AX3"/>
    <mergeCell ref="J4:Q4"/>
    <mergeCell ref="BC3:BP3"/>
    <mergeCell ref="AY4:BB4"/>
    <mergeCell ref="AB3:AD3"/>
    <mergeCell ref="AE3:AH3"/>
    <mergeCell ref="J3:Q3"/>
    <mergeCell ref="A2:J2"/>
    <mergeCell ref="R4:T4"/>
    <mergeCell ref="BC4:BP4"/>
    <mergeCell ref="AI4:AR4"/>
    <mergeCell ref="AB4:AD4"/>
    <mergeCell ref="U3:AA3"/>
    <mergeCell ref="AS4:AX4"/>
  </mergeCells>
  <pageMargins left="0" right="0" top="0.1968503937007874" bottom="0.1574803149606299" header="0.3149606299212598" footer="0.3149606299212598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BG12"/>
  <sheetViews>
    <sheetView topLeftCell="A4" workbookViewId="0">
      <selection activeCell="I22" sqref="I22"/>
    </sheetView>
  </sheetViews>
  <sheetFormatPr baseColWidth="8" defaultRowHeight="15"/>
  <sheetData>
    <row r="8" ht="54.75" customHeight="1">
      <c r="A8" s="342" t="inlineStr">
        <is>
          <t>РЕЄСТРАЦІЯ ЗВЕРНЕННЯ</t>
        </is>
      </c>
      <c r="B8" s="432" t="n"/>
      <c r="C8" s="432" t="n"/>
      <c r="D8" s="433" t="n"/>
      <c r="E8" s="436" t="inlineStr">
        <is>
          <t>СУДОВЕ РІШЕННЯ ТА КРИМІНАЛЬНЕ ПРОВАДЖЕННЯ</t>
        </is>
      </c>
      <c r="F8" s="432" t="n"/>
      <c r="G8" s="435" t="n"/>
      <c r="H8" s="328" t="inlineStr">
        <is>
          <t>ВІДОМОСТІ ПРО АКТИВ</t>
        </is>
      </c>
      <c r="I8" s="432" t="n"/>
      <c r="J8" s="432" t="n"/>
      <c r="K8" s="432" t="n"/>
      <c r="L8" s="436" t="inlineStr">
        <is>
          <t>ВЛАСНИК ТА МІСЦЕЗНАХОДЖЕННЯ АКТИВУ</t>
        </is>
      </c>
      <c r="M8" s="432" t="n"/>
      <c r="N8" s="435" t="n"/>
      <c r="O8" s="328" t="inlineStr">
        <is>
          <t>КОРИСТУВАЧ / ОРЕНДАР ТА ПІДСТАВИ КОРИСТУВАННЯ АКТИВОМ</t>
        </is>
      </c>
      <c r="P8" s="432" t="n"/>
      <c r="Q8" s="432" t="n"/>
      <c r="R8" s="432" t="n"/>
      <c r="S8" s="432" t="n"/>
      <c r="T8" s="432" t="n"/>
      <c r="U8" s="432" t="n"/>
      <c r="V8" s="436" t="inlineStr">
        <is>
          <t>КОНТРОЛЬ ВИКОНАННЯ</t>
        </is>
      </c>
      <c r="W8" s="432" t="n"/>
      <c r="X8" s="435" t="n"/>
      <c r="Y8" s="436" t="inlineStr">
        <is>
          <t>ОГЛЯД ТА ФАКТИЧНИЙ СТАН АКТИВУ</t>
        </is>
      </c>
      <c r="Z8" s="432" t="n"/>
      <c r="AA8" s="432" t="n"/>
      <c r="AB8" s="435" t="n"/>
      <c r="AC8" s="436" t="inlineStr">
        <is>
          <t>ВИСНОВОК ТА РЕЗУЛЬТАТ ІДЕНТИФІКАЦІЇ</t>
        </is>
      </c>
      <c r="AD8" s="432" t="n"/>
      <c r="AE8" s="432" t="n"/>
      <c r="AF8" s="435" t="n"/>
      <c r="AG8" s="330" t="inlineStr">
        <is>
          <t>ПЕРЕДАЧА АКТИВУ В УПРАВЛІННЯ АРМА</t>
        </is>
      </c>
      <c r="AH8" s="432" t="n"/>
      <c r="AI8" s="432" t="n"/>
      <c r="AJ8" s="432" t="n"/>
      <c r="AK8" s="432" t="n"/>
      <c r="AL8" s="435" t="n"/>
      <c r="AM8" s="436" t="inlineStr">
        <is>
          <t>ПРОВЕДЕННЯ ОЦІНКИ</t>
        </is>
      </c>
      <c r="AN8" s="432" t="n"/>
      <c r="AO8" s="432" t="n"/>
      <c r="AP8" s="435" t="n"/>
      <c r="AQ8" s="437" t="inlineStr">
        <is>
          <t>ЗБЕРІГАННЯ ТА ПЕРЕДАЧА АКТИВУ В УПРАВЛІННЯ</t>
        </is>
      </c>
      <c r="AR8" s="438" t="n"/>
      <c r="AS8" s="438" t="n"/>
      <c r="AT8" s="438" t="n"/>
      <c r="AU8" s="438" t="n"/>
      <c r="AV8" s="438" t="n"/>
      <c r="AW8" s="438" t="n"/>
      <c r="AX8" s="438" t="n"/>
      <c r="AY8" s="438" t="n"/>
      <c r="AZ8" s="438" t="n"/>
      <c r="BA8" s="438" t="n"/>
      <c r="BB8" s="438" t="n"/>
      <c r="BC8" s="438" t="n"/>
      <c r="BD8" s="286" t="n"/>
    </row>
    <row r="9" ht="61.5" customHeight="1">
      <c r="A9" s="146" t="inlineStr">
        <is>
          <t>Звернення № з/п</t>
        </is>
      </c>
      <c r="B9" s="146" t="inlineStr">
        <is>
          <t>Дата надходження звернення до АРМА, вхідний реєстраційний №</t>
        </is>
      </c>
      <c r="C9" s="146" t="inlineStr">
        <is>
          <t>Орган, що надіслав звернення, вихідний реєстраційний №</t>
        </is>
      </c>
      <c r="D9" s="146" t="inlineStr">
        <is>
          <t>Ухвала суду № з/п</t>
        </is>
      </c>
      <c r="E9" s="169" t="inlineStr">
        <is>
          <t>Реквізити судового рішення (ухвала)</t>
        </is>
      </c>
      <c r="F9" s="146" t="inlineStr">
        <is>
          <t>Дата, № кримінального провадження</t>
        </is>
      </c>
      <c r="G9" s="175" t="inlineStr">
        <is>
          <t>Обмеження щодо активу / стан арешту</t>
        </is>
      </c>
      <c r="H9" s="172" t="inlineStr">
        <is>
          <t>Актив</t>
        </is>
      </c>
      <c r="I9" s="146" t="inlineStr">
        <is>
          <t>Записів</t>
        </is>
      </c>
      <c r="J9" s="146" t="inlineStr">
        <is>
          <t>Вид активу</t>
        </is>
      </c>
      <c r="K9" s="146" t="inlineStr">
        <is>
          <t>Тип активу</t>
        </is>
      </c>
      <c r="L9" s="169" t="inlineStr">
        <is>
          <t>Власник / ЄДРПОУ / РНОКПП</t>
        </is>
      </c>
      <c r="M9" s="146" t="inlineStr">
        <is>
          <t>Місцезнаходження</t>
        </is>
      </c>
      <c r="N9" s="175" t="inlineStr">
        <is>
          <t>Юрисдикція МТУ</t>
        </is>
      </c>
      <c r="O9" s="172" t="inlineStr">
        <is>
          <t>Статус користувача / орендаря</t>
        </is>
      </c>
      <c r="P9" s="146" t="inlineStr">
        <is>
          <t>Повне найменування юридичної особи / ПІБ</t>
        </is>
      </c>
      <c r="Q9" s="146" t="inlineStr">
        <is>
          <t xml:space="preserve">	Місцезнаходження / місце проживання</t>
        </is>
      </c>
      <c r="R9" s="146" t="inlineStr">
        <is>
          <t>Підстава користування активом</t>
        </is>
      </c>
      <c r="S9" s="146" t="inlineStr">
        <is>
          <t>Реквізити документа, що підтверджує право користування</t>
        </is>
      </c>
      <c r="T9" s="146" t="inlineStr">
        <is>
          <t>Дата початку / закінчення користування</t>
        </is>
      </c>
      <c r="U9" s="185" t="inlineStr">
        <is>
          <t xml:space="preserve">	Контактні дані</t>
        </is>
      </c>
      <c r="V9" s="169" t="inlineStr">
        <is>
          <t>Доручення дата / № передачі до МТУ</t>
        </is>
      </c>
      <c r="W9" s="146" t="inlineStr">
        <is>
          <t>Продовження доручення</t>
        </is>
      </c>
      <c r="X9" s="175" t="inlineStr">
        <is>
          <t>Листування з державними органами</t>
        </is>
      </c>
      <c r="Y9" s="172" t="inlineStr">
        <is>
          <t>Актив використовується / не використовується</t>
        </is>
      </c>
      <c r="Z9" s="146" t="inlineStr">
        <is>
          <t>Фізичний стан</t>
        </is>
      </c>
      <c r="AA9" s="146" t="inlineStr">
        <is>
          <t>Дата огляду</t>
        </is>
      </c>
      <c r="AB9" s="185" t="inlineStr">
        <is>
          <t>Заходи реагування</t>
        </is>
      </c>
      <c r="AC9" s="169" t="inlineStr">
        <is>
          <t>Причини, що унеможливлюють управління</t>
        </is>
      </c>
      <c r="AD9" s="146" t="inlineStr">
        <is>
          <t>Дата підписання висновку</t>
        </is>
      </c>
      <c r="AE9" s="146" t="inlineStr">
        <is>
          <t>Результат ідентифікації</t>
        </is>
      </c>
      <c r="AF9" s="185" t="inlineStr">
        <is>
          <t>Дата направлення висновку до прокуратури</t>
        </is>
      </c>
      <c r="AG9" s="193" t="inlineStr">
        <is>
          <t xml:space="preserve">Реєстраційний № / дата надходження звернення прокурора / ухвали суду про взяття активу в управління  </t>
        </is>
      </c>
      <c r="AH9" s="15" t="inlineStr">
        <is>
          <t>Доручення АРМА №/дата -МТУ про проведення огляду та підготовку акту прийому передачі</t>
        </is>
      </c>
      <c r="AI9" s="15" t="inlineStr">
        <is>
          <t>Реєстраційний №/ дата направлення супровідного листа з актом прийому передачі до прокуратури</t>
        </is>
      </c>
      <c r="AJ9" s="15" t="inlineStr">
        <is>
          <t>Дата, вихідний номер листа щодо повернення акту прийому передачі активу із прокуратури</t>
        </is>
      </c>
      <c r="AK9" s="15" t="inlineStr">
        <is>
          <t>Дата, вхідний номер листа прокуратури щодо підписання акту передачі активу АРМА</t>
        </is>
      </c>
      <c r="AL9" s="26" t="inlineStr">
        <is>
          <t>Акт приймання-передачі активу від прокурора до АРМА № / дата</t>
        </is>
      </c>
      <c r="AM9" s="15" t="inlineStr">
        <is>
          <t>Дата проведення оцінки</t>
        </is>
      </c>
      <c r="AN9" s="15" t="inlineStr">
        <is>
          <t>Найменування юридичної або фізичної особи, яка проводила оцінку</t>
        </is>
      </c>
      <c r="AO9" s="15" t="inlineStr">
        <is>
          <t>Код ЄДРПОУ / РНОКПП оцінювача</t>
        </is>
      </c>
      <c r="AP9" s="27" t="inlineStr">
        <is>
          <t xml:space="preserve">Вартість оцінки, тис. грн
</t>
        </is>
      </c>
      <c r="AQ9" s="28" t="inlineStr">
        <is>
          <t>Акт приймання-передачі активу АРМА суб’єкту господарювання (зберігачу) № / дата</t>
        </is>
      </c>
      <c r="AR9" s="15" t="inlineStr">
        <is>
          <t>Договір прийняття активу на зберігання № / дата</t>
        </is>
      </c>
      <c r="AS9" s="15" t="inlineStr">
        <is>
          <t>Найменування суб’єкта господарювання (зберігача)</t>
        </is>
      </c>
      <c r="AT9" s="15" t="inlineStr">
        <is>
          <t>Код ЄДРПОУ / РНОКПП зберігача</t>
        </is>
      </c>
      <c r="AU9" s="15" t="inlineStr">
        <is>
          <t>Вид забезпечення зберігання активу</t>
        </is>
      </c>
      <c r="AV9" s="15" t="inlineStr">
        <is>
          <t xml:space="preserve">	Місце зберігання активу</t>
        </is>
      </c>
      <c r="AW9" s="15" t="inlineStr">
        <is>
          <t xml:space="preserve">	Орієнтовні витрати на зберігання, грн/місяць</t>
        </is>
      </c>
      <c r="AX9" s="15" t="inlineStr">
        <is>
          <t>Дата початку зберігання</t>
        </is>
      </c>
      <c r="AY9" s="15" t="inlineStr">
        <is>
          <t>Дата завершення зберігання</t>
        </is>
      </c>
      <c r="AZ9" s="15" t="inlineStr">
        <is>
          <t>Акт приймання-передачі активу від зберігача до АРМА № / дат</t>
        </is>
      </c>
      <c r="BA9" s="15" t="inlineStr">
        <is>
          <t xml:space="preserve">	Акт приймання-передачі активу від АРМА управителю № / дата</t>
        </is>
      </c>
      <c r="BB9" s="15" t="inlineStr">
        <is>
          <t xml:space="preserve">	Договір управління активом № / дата</t>
        </is>
      </c>
      <c r="BC9" s="15" t="inlineStr">
        <is>
          <t xml:space="preserve">	Найменування управителя активу</t>
        </is>
      </c>
      <c r="BD9" s="197" t="inlineStr">
        <is>
          <t xml:space="preserve">Код ЄДРПОУ / РНОКПП управителя
</t>
        </is>
      </c>
    </row>
    <row r="10" hidden="1" ht="27" customHeight="1">
      <c r="A10" s="87" t="n">
        <v>13</v>
      </c>
      <c r="B10" s="87" t="n"/>
      <c r="C10" s="87" t="n"/>
      <c r="D10" s="87" t="n">
        <v>25</v>
      </c>
      <c r="E10" s="84" t="n"/>
      <c r="F10" s="87" t="n"/>
      <c r="G10" s="176" t="n"/>
      <c r="H10" s="173" t="n"/>
      <c r="I10" s="87">
        <f>SUM(I11:I305)</f>
        <v/>
      </c>
      <c r="J10" s="87" t="n"/>
      <c r="K10" s="87" t="n"/>
      <c r="L10" s="146" t="n"/>
      <c r="M10" s="146" t="n"/>
      <c r="N10" s="175" t="n"/>
      <c r="O10" s="172" t="n"/>
      <c r="P10" s="146" t="n"/>
      <c r="Q10" s="146" t="n"/>
      <c r="R10" s="146" t="n"/>
      <c r="S10" s="146" t="n"/>
      <c r="T10" s="146" t="n"/>
      <c r="U10" s="146" t="n"/>
      <c r="V10" s="146" t="n"/>
      <c r="W10" s="146" t="n"/>
      <c r="X10" s="175" t="n"/>
      <c r="Y10" s="172" t="n"/>
      <c r="Z10" s="146" t="n"/>
      <c r="AA10" s="146" t="n"/>
      <c r="AB10" s="146" t="n"/>
      <c r="AC10" s="146" t="n"/>
      <c r="AD10" s="146" t="n"/>
      <c r="AE10" s="146" t="n"/>
      <c r="AF10" s="146" t="n"/>
      <c r="AG10" s="157" t="n"/>
      <c r="AH10" s="15" t="n"/>
      <c r="AI10" s="15" t="n"/>
      <c r="AJ10" s="15" t="n"/>
      <c r="AK10" s="15" t="n"/>
      <c r="AL10" s="34" t="n"/>
      <c r="AM10" s="15" t="n"/>
      <c r="AN10" s="15" t="n"/>
      <c r="AO10" s="15" t="n"/>
      <c r="AP10" s="27" t="n"/>
      <c r="AQ10" s="14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29" t="n"/>
      <c r="BG10" s="143" t="n"/>
    </row>
    <row r="11" ht="54" customFormat="1" customHeight="1" s="10">
      <c r="A11" s="11" t="n">
        <v>1</v>
      </c>
      <c r="B11" s="11" t="inlineStr">
        <is>
          <t>19.12.2025 № 13335/27-25</t>
        </is>
      </c>
      <c r="C11" s="16" t="inlineStr">
        <is>
          <t>Офіс Генерального прокурора № 08/1-1592-25 від 17.12.2025</t>
        </is>
      </c>
      <c r="D11" s="11" t="n">
        <v>1</v>
      </c>
      <c r="E11" s="170" t="inlineStr">
        <is>
          <t>Шевченківського районного суду м. Києва від 26.11.2025, справа № 761/48740/25, провадження № 1-кс/761/30837/2025</t>
        </is>
      </c>
      <c r="F11" s="16" t="inlineStr">
        <is>
          <t>18.06.2025
№ 72025001420000055 від , ч. 3 ст. 28, ч. 2 ст. 203-2, ч. 4 ст. 369 КК України</t>
        </is>
      </c>
      <c r="G11" s="177" t="inlineStr">
        <is>
          <t>Заборона відчуження, розпорядження та користування</t>
        </is>
      </c>
      <c r="H11" s="174" t="inlineStr">
        <is>
          <t>Обєкт нежитлової нерухомості. 
Нежитлова будівля з приміщеннями, загальна площа 863,9 кв. м. Київ, вул. Єфремова, 3</t>
        </is>
      </c>
      <c r="I11" s="11" t="n">
        <v>1</v>
      </c>
      <c r="J11" s="11" t="inlineStr">
        <is>
          <t>Нерухоме майно</t>
        </is>
      </c>
      <c r="K11" s="11" t="inlineStr">
        <is>
          <t>Простий</t>
        </is>
      </c>
      <c r="L11" s="170" t="inlineStr">
        <is>
          <t>ПП «КВО-Д», ЄДРПОУ 32423885</t>
        </is>
      </c>
      <c r="M11" s="16" t="inlineStr">
        <is>
          <t>Київ, вул. Єфремова, 3</t>
        </is>
      </c>
      <c r="N11" s="12" t="inlineStr">
        <is>
          <t>Центральне МТУ</t>
        </is>
      </c>
      <c r="O11" s="182" t="inlineStr">
        <is>
          <t>на правах оренди здійснювалась діяльність</t>
        </is>
      </c>
      <c r="P11" s="17" t="n"/>
      <c r="Q11" s="17" t="n"/>
      <c r="R11" s="17" t="n"/>
      <c r="S11" s="17" t="n"/>
      <c r="T11" s="17" t="n"/>
      <c r="U11" s="187" t="n"/>
      <c r="V11" s="186" t="inlineStr">
        <is>
          <t>10.06.2026 № 171/61.1-26 
Центральне 
МТУ до 16.06.26
АРМА до 23.06.26</t>
        </is>
      </c>
      <c r="W11" s="11" t="inlineStr">
        <is>
          <t>17.06.2026
№ 179/61.1-26 МТУ до 24.06.2026, АРМА до 30.06.2026</t>
        </is>
      </c>
      <c r="X11" s="187" t="n"/>
      <c r="Y11" s="182" t="n"/>
      <c r="Z11" s="17" t="n"/>
      <c r="AA11" s="200" t="n"/>
      <c r="AB11" s="187" t="n"/>
      <c r="AC11" s="174" t="inlineStr">
        <is>
          <t>Відсутній доступ</t>
        </is>
      </c>
      <c r="AD11" s="165" t="n">
        <v>46210</v>
      </c>
      <c r="AE11" s="11" t="inlineStr">
        <is>
          <t>Неможливо управління</t>
        </is>
      </c>
      <c r="AF11" s="12" t="inlineStr">
        <is>
          <t>14.07.2026 № 90/61.1-25-26/61</t>
        </is>
      </c>
      <c r="AG11" s="158" t="n"/>
      <c r="AH11" s="18" t="n"/>
      <c r="AI11" s="18" t="n"/>
      <c r="AJ11" s="18" t="n"/>
      <c r="AK11" s="18" t="n"/>
      <c r="AL11" s="194" t="n"/>
      <c r="AM11" s="158" t="n"/>
      <c r="AN11" s="18" t="n"/>
      <c r="AO11" s="18" t="n"/>
      <c r="AP11" s="194" t="n"/>
      <c r="AQ11" s="15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</row>
    <row r="12" ht="45" customFormat="1" customHeight="1" s="10">
      <c r="A12" s="11" t="n">
        <v>1</v>
      </c>
      <c r="B12" s="11" t="inlineStr">
        <is>
          <t>19.12.2025 № 13335/27-25</t>
        </is>
      </c>
      <c r="C12" s="16" t="inlineStr">
        <is>
          <t>Офіс Генерального прокурора № 08/1-1592-25 від 17.12.2025</t>
        </is>
      </c>
      <c r="D12" s="11" t="n">
        <v>2</v>
      </c>
      <c r="E12" s="170" t="inlineStr">
        <is>
          <t>Шевченківського районного суду м. Києва від 26.11.2025, справа № 761/48748/25, провадження № 1-кс/761/30841/2025</t>
        </is>
      </c>
      <c r="F12" s="16" t="inlineStr">
        <is>
          <t>18.06.2025
№ 72025001420000055 від , ч. 3 ст. 28, ч. 2 ст. 203-2, ч. 4 ст. 369 КК України</t>
        </is>
      </c>
      <c r="G12" s="177" t="inlineStr">
        <is>
          <t>Заборона відчуження, розпорядження та користування</t>
        </is>
      </c>
      <c r="H12" s="174" t="inlineStr">
        <is>
          <t>Обєкт нежитлової нерухомості. 
Група нежитлових приміщень № 144, м. Київ, вул. Гната Юри, 16</t>
        </is>
      </c>
      <c r="I12" s="11" t="n">
        <v>1</v>
      </c>
      <c r="J12" s="11" t="inlineStr">
        <is>
          <t>Нерухоме майно</t>
        </is>
      </c>
      <c r="K12" s="11" t="inlineStr">
        <is>
          <t>Простий</t>
        </is>
      </c>
      <c r="L12" s="170" t="inlineStr">
        <is>
          <t>ПП «ТАМЕРЛАН І К», ЄДРПОУ 30081508</t>
        </is>
      </c>
      <c r="M12" s="16" t="inlineStr">
        <is>
          <t>Київ, вул. Гната Юри, 16</t>
        </is>
      </c>
      <c r="N12" s="12" t="inlineStr">
        <is>
          <t>Центральне МТУ</t>
        </is>
      </c>
      <c r="O12" s="182" t="n"/>
      <c r="P12" s="17" t="n"/>
      <c r="Q12" s="17" t="n"/>
      <c r="R12" s="17" t="n"/>
      <c r="S12" s="17" t="n"/>
      <c r="T12" s="17" t="n"/>
      <c r="U12" s="187" t="n"/>
      <c r="V12" s="186" t="inlineStr">
        <is>
          <t>10.06.2026 № 171/61.1-26 
Центральне 
МТУ до 16.06.26
АРМА до 23.06.26</t>
        </is>
      </c>
      <c r="W12" s="11" t="inlineStr">
        <is>
          <t>17.06.2026
№ 179/61.1-26 МТУ до 24.06.2026, АРМА до 30.06.2026</t>
        </is>
      </c>
      <c r="X12" s="187" t="n"/>
      <c r="Y12" s="182" t="n"/>
      <c r="Z12" s="17" t="n"/>
      <c r="AA12" s="17" t="n"/>
      <c r="AB12" s="187" t="n"/>
      <c r="AC12" s="174" t="inlineStr">
        <is>
          <t>Відсутній доступ</t>
        </is>
      </c>
      <c r="AD12" s="165" t="n">
        <v>46210</v>
      </c>
      <c r="AE12" s="11" t="inlineStr">
        <is>
          <t>Неможливо управління</t>
        </is>
      </c>
      <c r="AF12" s="12" t="inlineStr">
        <is>
          <t>14.07.2026 № 90/61.1-25-26/61</t>
        </is>
      </c>
      <c r="AG12" s="158" t="n"/>
      <c r="AH12" s="18" t="n"/>
      <c r="AI12" s="18" t="n"/>
      <c r="AJ12" s="18" t="n"/>
      <c r="AK12" s="18" t="n"/>
      <c r="AL12" s="194" t="n"/>
      <c r="AM12" s="158" t="n"/>
      <c r="AN12" s="18" t="n"/>
      <c r="AO12" s="18" t="n"/>
      <c r="AP12" s="194" t="n"/>
      <c r="AQ12" s="15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</row>
  </sheetData>
  <mergeCells count="11">
    <mergeCell ref="Y8:AB8"/>
    <mergeCell ref="AC8:AF8"/>
    <mergeCell ref="A8:D8"/>
    <mergeCell ref="H8:K8"/>
    <mergeCell ref="AQ8:BD8"/>
    <mergeCell ref="AM8:AP8"/>
    <mergeCell ref="V8:X8"/>
    <mergeCell ref="AG8:AL8"/>
    <mergeCell ref="E8:G8"/>
    <mergeCell ref="L8:N8"/>
    <mergeCell ref="O8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topLeftCell="A11" zoomScale="80" zoomScaleNormal="80" workbookViewId="0">
      <selection activeCell="D6" sqref="D6:D8"/>
    </sheetView>
  </sheetViews>
  <sheetFormatPr baseColWidth="8" defaultRowHeight="15"/>
  <cols>
    <col width="3.28515625" customWidth="1" style="6" min="1" max="1"/>
    <col width="15.5703125" customWidth="1" style="6" min="2" max="2"/>
    <col width="9.42578125" customWidth="1" style="6" min="3" max="3"/>
    <col width="11.140625" customWidth="1" style="6" min="4" max="4"/>
    <col width="4.85546875" customWidth="1" style="6" min="5" max="5"/>
    <col width="4.28515625" customWidth="1" style="6" min="6" max="6"/>
    <col width="8.5703125" customWidth="1" style="6" min="7" max="7"/>
    <col width="9" customWidth="1" style="6" min="8" max="8"/>
    <col width="8.5703125" customWidth="1" style="6" min="9" max="9"/>
    <col width="7.7109375" customWidth="1" style="6" min="10" max="10"/>
    <col width="8.7109375" customWidth="1" style="6" min="11" max="11"/>
    <col width="6.28515625" customWidth="1" style="6" min="12" max="12"/>
    <col width="4.7109375" customWidth="1" style="6" min="13" max="13"/>
    <col width="5.28515625" customWidth="1" style="6" min="14" max="15"/>
    <col width="4.7109375" customWidth="1" style="6" min="16" max="17"/>
    <col width="5.28515625" customWidth="1" style="6" min="18" max="18"/>
    <col width="5.140625" customWidth="1" style="6" min="19" max="19"/>
    <col width="6.42578125" customWidth="1" style="6" min="20" max="20"/>
    <col width="4.42578125" customWidth="1" style="6" min="21" max="21"/>
    <col width="10.140625" customWidth="1" style="6" min="22" max="22"/>
    <col width="5.140625" customWidth="1" style="6" min="23" max="23"/>
    <col width="6.28515625" customWidth="1" style="6" min="24" max="24"/>
    <col width="5.140625" customWidth="1" style="6" min="25" max="25"/>
    <col width="5" customWidth="1" style="6" min="26" max="26"/>
    <col width="6.42578125" customWidth="1" style="6" min="27" max="27"/>
    <col width="6" customWidth="1" style="6" min="28" max="28"/>
    <col width="5" customWidth="1" style="6" min="29" max="29"/>
    <col width="9.140625" customWidth="1" style="6" min="30" max="16384"/>
  </cols>
  <sheetData>
    <row r="1" ht="18.75" customHeight="1">
      <c r="A1" s="343" t="inlineStr">
        <is>
          <t>Інформація про опрацювання звернень слідчих прокурорів станом на 27.08.2026</t>
        </is>
      </c>
    </row>
    <row r="2" ht="15.75" customHeight="1">
      <c r="A2" s="439" t="inlineStr">
        <is>
          <t>№ з/п</t>
        </is>
      </c>
      <c r="B2" s="440" t="inlineStr">
        <is>
          <t>РЕЄСТР</t>
        </is>
      </c>
      <c r="C2" s="441" t="n"/>
      <c r="D2" s="351" t="inlineStr">
        <is>
          <t>Лист АРМА на прокуратуру з Висновком</t>
        </is>
      </c>
      <c r="E2" s="442" t="inlineStr">
        <is>
          <t>ЗВЕРНЕНЬ</t>
        </is>
      </c>
      <c r="F2" s="443" t="inlineStr">
        <is>
          <t>УХВАЛ</t>
        </is>
      </c>
      <c r="G2" s="360" t="inlineStr">
        <is>
          <t>АКТИВИ</t>
        </is>
      </c>
      <c r="H2" s="438" t="n"/>
      <c r="I2" s="438" t="n"/>
      <c r="J2" s="438" t="n"/>
      <c r="K2" s="438" t="n"/>
      <c r="L2" s="438" t="n"/>
      <c r="M2" s="438" t="n"/>
      <c r="N2" s="438" t="n"/>
      <c r="O2" s="438" t="n"/>
      <c r="P2" s="438" t="n"/>
      <c r="Q2" s="438" t="n"/>
      <c r="R2" s="438" t="n"/>
      <c r="S2" s="438" t="n"/>
      <c r="T2" s="438" t="n"/>
      <c r="U2" s="438" t="n"/>
      <c r="V2" s="438" t="n"/>
      <c r="W2" s="286" t="n"/>
      <c r="X2" s="444" t="inlineStr">
        <is>
          <t>АКТИВІВ
ВСЬОГО</t>
        </is>
      </c>
      <c r="Y2" s="72" t="inlineStr">
        <is>
          <t>Проведено ідентифікацію</t>
        </is>
      </c>
      <c r="Z2" s="445" t="n"/>
      <c r="AA2" s="441" t="n"/>
      <c r="AB2" s="446" t="inlineStr">
        <is>
          <t>Можливість управління</t>
        </is>
      </c>
      <c r="AC2" s="441" t="n"/>
      <c r="AD2" s="142" t="n"/>
    </row>
    <row r="3">
      <c r="A3" s="447" t="n"/>
      <c r="B3" s="448" t="n"/>
      <c r="C3" s="433" t="n"/>
      <c r="D3" s="449" t="n"/>
      <c r="E3" s="450" t="n"/>
      <c r="F3" s="451" t="n"/>
      <c r="G3" s="374" t="inlineStr">
        <is>
          <t>СКЛАДНІ</t>
        </is>
      </c>
      <c r="H3" s="438" t="n"/>
      <c r="I3" s="438" t="n"/>
      <c r="J3" s="438" t="n"/>
      <c r="K3" s="438" t="n"/>
      <c r="L3" s="438" t="n"/>
      <c r="M3" s="438" t="n"/>
      <c r="N3" s="452" t="inlineStr">
        <is>
          <t>ВСЬОГО</t>
        </is>
      </c>
      <c r="O3" s="453" t="inlineStr">
        <is>
          <t>СКЛАДНІ
ВСЬОГО</t>
        </is>
      </c>
      <c r="P3" s="374" t="inlineStr">
        <is>
          <t>ПРОСТІ</t>
        </is>
      </c>
      <c r="Q3" s="438" t="n"/>
      <c r="R3" s="438" t="n"/>
      <c r="S3" s="438" t="n"/>
      <c r="T3" s="438" t="n"/>
      <c r="U3" s="438" t="n"/>
      <c r="V3" s="438" t="n"/>
      <c r="W3" s="381" t="inlineStr">
        <is>
          <t>ПРОСТІ
ВСЬОГО</t>
        </is>
      </c>
      <c r="X3" s="450" t="n"/>
      <c r="Y3" s="448" t="n"/>
      <c r="Z3" s="432" t="n"/>
      <c r="AA3" s="433" t="n"/>
      <c r="AB3" s="448" t="n"/>
      <c r="AC3" s="433" t="n"/>
      <c r="AD3" s="142" t="n"/>
    </row>
    <row r="4" ht="57" customHeight="1" thickBot="1">
      <c r="A4" s="454" t="n"/>
      <c r="B4" s="345" t="inlineStr">
        <is>
          <t>ПРОКУРАТУРА</t>
        </is>
      </c>
      <c r="C4" s="345" t="inlineStr">
        <is>
          <t>АРМА</t>
        </is>
      </c>
      <c r="D4" s="449" t="n"/>
      <c r="E4" s="455" t="n"/>
      <c r="F4" s="456" t="n"/>
      <c r="G4" s="45" t="inlineStr">
        <is>
          <t>зем
ділянки
у складі майнового комплексу</t>
        </is>
      </c>
      <c r="H4" s="46" t="inlineStr">
        <is>
          <t>майнові комплекси</t>
        </is>
      </c>
      <c r="I4" s="40" t="inlineStr">
        <is>
          <t>готельний комплекс/розважальні заклади</t>
        </is>
      </c>
      <c r="J4" s="40" t="inlineStr">
        <is>
          <t>нежитлові будівлі</t>
        </is>
      </c>
      <c r="K4" s="40" t="inlineStr">
        <is>
          <t>транспорт у складі майнового комплексу</t>
        </is>
      </c>
      <c r="L4" s="40" t="inlineStr">
        <is>
          <t>корпоративні права</t>
        </is>
      </c>
      <c r="M4" s="40" t="inlineStr">
        <is>
          <t>інше</t>
        </is>
      </c>
      <c r="N4" s="457" t="n"/>
      <c r="O4" s="458" t="n"/>
      <c r="P4" s="47" t="inlineStr">
        <is>
          <t>квартир</t>
        </is>
      </c>
      <c r="Q4" s="48" t="inlineStr">
        <is>
          <t>будинок</t>
        </is>
      </c>
      <c r="R4" s="48" t="inlineStr">
        <is>
          <t>гараж/місце</t>
        </is>
      </c>
      <c r="S4" s="427" t="inlineStr">
        <is>
          <t>транспорт</t>
        </is>
      </c>
      <c r="T4" s="427" t="inlineStr">
        <is>
          <t>зем
ділянки</t>
        </is>
      </c>
      <c r="U4" s="41" t="inlineStr">
        <is>
          <t>інше</t>
        </is>
      </c>
      <c r="V4" s="4" t="inlineStr">
        <is>
          <t>обєкт нежитлової нерухомості</t>
        </is>
      </c>
      <c r="W4" s="457" t="n"/>
      <c r="X4" s="455" t="n"/>
      <c r="Y4" s="49" t="inlineStr">
        <is>
          <t>складні</t>
        </is>
      </c>
      <c r="Z4" s="49" t="inlineStr">
        <is>
          <t>прості</t>
        </is>
      </c>
      <c r="AA4" s="49" t="inlineStr">
        <is>
          <t>ВСЬОГО</t>
        </is>
      </c>
      <c r="AB4" s="50" t="inlineStr">
        <is>
          <t>так</t>
        </is>
      </c>
      <c r="AC4" s="51" t="inlineStr">
        <is>
          <t>ні</t>
        </is>
      </c>
      <c r="AD4" s="142" t="n"/>
    </row>
    <row r="5">
      <c r="A5" s="52" t="n">
        <v>1</v>
      </c>
      <c r="B5" s="53" t="n">
        <v>2</v>
      </c>
      <c r="C5" s="53" t="n">
        <v>3</v>
      </c>
      <c r="D5" s="54" t="n">
        <v>4</v>
      </c>
      <c r="E5" s="55" t="n">
        <v>5</v>
      </c>
      <c r="F5" s="56" t="n">
        <v>6</v>
      </c>
      <c r="G5" s="53" t="n">
        <v>7</v>
      </c>
      <c r="H5" s="53" t="n">
        <v>8</v>
      </c>
      <c r="I5" s="53" t="n">
        <v>9</v>
      </c>
      <c r="J5" s="53" t="n">
        <v>10</v>
      </c>
      <c r="K5" s="53" t="n">
        <v>11</v>
      </c>
      <c r="L5" s="53" t="n">
        <v>12</v>
      </c>
      <c r="M5" s="57" t="n">
        <v>13</v>
      </c>
      <c r="N5" s="54" t="n">
        <v>14</v>
      </c>
      <c r="O5" s="58" t="n">
        <v>15</v>
      </c>
      <c r="P5" s="59" t="n">
        <v>16</v>
      </c>
      <c r="Q5" s="60" t="n">
        <v>17</v>
      </c>
      <c r="R5" s="53" t="n">
        <v>18</v>
      </c>
      <c r="S5" s="53" t="n">
        <v>19</v>
      </c>
      <c r="T5" s="53" t="n">
        <v>20</v>
      </c>
      <c r="U5" s="54" t="n">
        <v>21</v>
      </c>
      <c r="V5" s="53" t="n">
        <v>22</v>
      </c>
      <c r="W5" s="61" t="n">
        <v>23</v>
      </c>
      <c r="X5" s="62" t="n">
        <v>24</v>
      </c>
      <c r="Y5" s="63" t="n">
        <v>25</v>
      </c>
      <c r="Z5" s="63" t="n">
        <v>26</v>
      </c>
      <c r="AA5" s="63" t="n">
        <v>27</v>
      </c>
      <c r="AB5" s="63" t="n">
        <v>28</v>
      </c>
      <c r="AC5" s="63" t="n">
        <v>29</v>
      </c>
      <c r="AD5" s="142" t="n"/>
    </row>
    <row r="6" ht="15" customHeight="1">
      <c r="A6" s="459" t="inlineStr">
        <is>
          <t>ВСЬОГО ЗАПИСІВ:</t>
        </is>
      </c>
      <c r="B6" s="445" t="n"/>
      <c r="C6" s="445" t="n"/>
      <c r="D6" s="460">
        <f>N7+W6</f>
        <v/>
      </c>
      <c r="E6" s="461">
        <f>SUM(E9:E22)</f>
        <v/>
      </c>
      <c r="F6" s="462">
        <f>SUM(F9:F22)</f>
        <v/>
      </c>
      <c r="G6" s="396" t="inlineStr">
        <is>
          <t xml:space="preserve">Записи в ухвалах </t>
        </is>
      </c>
      <c r="H6" s="438" t="n"/>
      <c r="I6" s="438" t="n"/>
      <c r="J6" s="438" t="n"/>
      <c r="K6" s="438" t="n"/>
      <c r="L6" s="438" t="n"/>
      <c r="M6" s="438" t="n"/>
      <c r="N6" s="438" t="n"/>
      <c r="O6" s="463">
        <f>SUM(O9:O22)</f>
        <v/>
      </c>
      <c r="P6" s="396" t="inlineStr">
        <is>
          <t xml:space="preserve">Записи в ухвалах </t>
        </is>
      </c>
      <c r="Q6" s="438" t="n"/>
      <c r="R6" s="438" t="n"/>
      <c r="S6" s="438" t="n"/>
      <c r="T6" s="438" t="n"/>
      <c r="U6" s="438" t="n"/>
      <c r="V6" s="438" t="n"/>
      <c r="W6" s="463">
        <f>SUM(W9:W22)</f>
        <v/>
      </c>
      <c r="X6" s="464">
        <f>SUM(X9:X22)</f>
        <v/>
      </c>
      <c r="Y6" s="465">
        <f>SUM(Y9:Y22)</f>
        <v/>
      </c>
      <c r="Z6" s="465">
        <f>SUM(Z9:Z22)</f>
        <v/>
      </c>
      <c r="AA6" s="466">
        <f>Y6+Z6</f>
        <v/>
      </c>
      <c r="AB6" s="466">
        <f>SUM(AB9:AB22)</f>
        <v/>
      </c>
      <c r="AC6" s="466">
        <f>SUM(AC9:AC22)</f>
        <v/>
      </c>
    </row>
    <row r="7" ht="9.75" customHeight="1">
      <c r="A7" s="143" t="n"/>
      <c r="D7" s="451" t="n"/>
      <c r="E7" s="467" t="n"/>
      <c r="F7" s="449" t="n"/>
      <c r="G7" s="468">
        <f>SUM(G9:G22)</f>
        <v/>
      </c>
      <c r="H7" s="469" t="n">
        <v>82</v>
      </c>
      <c r="I7" s="470" t="n">
        <v>13</v>
      </c>
      <c r="J7" s="471">
        <f>SUM(J9:J22)</f>
        <v/>
      </c>
      <c r="K7" s="471">
        <f>SUM(K9:K22)</f>
        <v/>
      </c>
      <c r="L7" s="471">
        <f>SUM(L9:L22)</f>
        <v/>
      </c>
      <c r="M7" s="469">
        <f>SUM(M9:M22)</f>
        <v/>
      </c>
      <c r="N7" s="472">
        <f>G7+H7+I7+J7+K7+L7+M7</f>
        <v/>
      </c>
      <c r="O7" s="449" t="n"/>
      <c r="P7" s="473">
        <f>SUM(P9:P22)</f>
        <v/>
      </c>
      <c r="Q7" s="469">
        <f>SUM(Q9:Q22)</f>
        <v/>
      </c>
      <c r="R7" s="470">
        <f>SUM(R9:R22)</f>
        <v/>
      </c>
      <c r="S7" s="471">
        <f>SUM(S9:S22)</f>
        <v/>
      </c>
      <c r="T7" s="471">
        <f>SUM(T9:T22)</f>
        <v/>
      </c>
      <c r="U7" s="471">
        <f>SUM(U9:U22)</f>
        <v/>
      </c>
      <c r="V7" s="469">
        <f>SUM(V9:V22)</f>
        <v/>
      </c>
      <c r="W7" s="449" t="n"/>
      <c r="X7" s="143" t="n"/>
      <c r="Y7" s="143" t="n"/>
      <c r="Z7" s="143" t="n"/>
      <c r="AA7" s="447" t="n"/>
      <c r="AB7" s="447" t="n"/>
      <c r="AC7" s="447" t="n"/>
    </row>
    <row r="8" ht="6.75" customHeight="1">
      <c r="A8" s="448" t="n"/>
      <c r="B8" s="432" t="n"/>
      <c r="C8" s="432" t="n"/>
      <c r="D8" s="435" t="n"/>
      <c r="E8" s="474" t="n"/>
      <c r="F8" s="475" t="n"/>
      <c r="G8" s="476" t="n"/>
      <c r="H8" s="477" t="n"/>
      <c r="I8" s="432" t="n"/>
      <c r="J8" s="448" t="n"/>
      <c r="K8" s="448" t="n"/>
      <c r="L8" s="448" t="n"/>
      <c r="M8" s="477" t="n"/>
      <c r="N8" s="432" t="n"/>
      <c r="O8" s="475" t="n"/>
      <c r="P8" s="474" t="n"/>
      <c r="Q8" s="477" t="n"/>
      <c r="R8" s="432" t="n"/>
      <c r="S8" s="448" t="n"/>
      <c r="T8" s="448" t="n"/>
      <c r="U8" s="448" t="n"/>
      <c r="V8" s="477" t="n"/>
      <c r="W8" s="475" t="n"/>
      <c r="X8" s="448" t="n"/>
      <c r="Y8" s="448" t="n"/>
      <c r="Z8" s="448" t="n"/>
      <c r="AA8" s="477" t="n"/>
      <c r="AB8" s="477" t="n"/>
      <c r="AC8" s="477" t="n"/>
    </row>
    <row r="9" ht="43.5" customHeight="1">
      <c r="A9" s="1" t="n">
        <v>1</v>
      </c>
      <c r="B9" s="1" t="inlineStr">
        <is>
          <t>Офіс Генерального прокурора 
від 17.12.2025
 № 08/1-1592-25</t>
        </is>
      </c>
      <c r="C9" s="1" t="inlineStr">
        <is>
          <t>19.12.2025 
№ 13335/27-25</t>
        </is>
      </c>
      <c r="D9" s="12" t="inlineStr">
        <is>
          <t>14.07.2026
 № 90/61/1-25-26/61</t>
        </is>
      </c>
      <c r="E9" s="64" t="n">
        <v>1</v>
      </c>
      <c r="F9" s="65" t="n">
        <v>4</v>
      </c>
      <c r="G9" s="66" t="n"/>
      <c r="H9" s="66" t="n"/>
      <c r="I9" s="67" t="n"/>
      <c r="J9" s="67" t="n"/>
      <c r="K9" s="67" t="n"/>
      <c r="L9" s="67" t="n"/>
      <c r="M9" s="67" t="n"/>
      <c r="N9" s="68" t="n"/>
      <c r="O9" s="69" t="n"/>
      <c r="P9" s="70" t="n"/>
      <c r="Q9" s="70" t="n"/>
      <c r="R9" s="1" t="n"/>
      <c r="S9" s="1" t="n"/>
      <c r="T9" s="1" t="n"/>
      <c r="U9" s="1" t="n"/>
      <c r="V9" s="71" t="n">
        <v>4</v>
      </c>
      <c r="W9" s="72" t="n">
        <v>4</v>
      </c>
      <c r="X9" s="73" t="n">
        <v>4</v>
      </c>
      <c r="Y9" s="74" t="n"/>
      <c r="Z9" s="74" t="n">
        <v>4</v>
      </c>
      <c r="AA9" s="360">
        <f>Y9+Z9</f>
        <v/>
      </c>
      <c r="AB9" s="72" t="n"/>
      <c r="AC9" s="72" t="n">
        <v>4</v>
      </c>
    </row>
    <row r="10" ht="33.75" customHeight="1">
      <c r="A10" s="3" t="n">
        <v>2</v>
      </c>
      <c r="B10" s="1" t="inlineStr">
        <is>
          <t xml:space="preserve">САП
від 06.03.2026
 № 07/1-26190-20 </t>
        </is>
      </c>
      <c r="C10" s="1" t="inlineStr">
        <is>
          <t>10.03.2026
 № 2474/27-26</t>
        </is>
      </c>
      <c r="D10" s="12" t="inlineStr">
        <is>
          <t xml:space="preserve"> 23.06.2026
№ 37/61.1-25-26/61.1</t>
        </is>
      </c>
      <c r="E10" s="64" t="n">
        <v>1</v>
      </c>
      <c r="F10" s="65" t="n">
        <v>1</v>
      </c>
      <c r="G10" s="75" t="n">
        <v>2</v>
      </c>
      <c r="H10" s="75" t="n"/>
      <c r="I10" s="71" t="n">
        <v>1</v>
      </c>
      <c r="J10" s="71" t="n"/>
      <c r="K10" s="71" t="n"/>
      <c r="L10" s="71" t="n"/>
      <c r="M10" s="71" t="n"/>
      <c r="N10" s="76" t="n"/>
      <c r="O10" s="77" t="n">
        <v>1</v>
      </c>
      <c r="P10" s="70" t="n"/>
      <c r="Q10" s="70" t="n"/>
      <c r="R10" s="1" t="n"/>
      <c r="S10" s="1" t="n"/>
      <c r="T10" s="1" t="n"/>
      <c r="U10" s="1" t="n"/>
      <c r="V10" s="71" t="n"/>
      <c r="W10" s="78" t="n"/>
      <c r="X10" s="73" t="n">
        <v>1</v>
      </c>
      <c r="Y10" s="74" t="n">
        <v>1</v>
      </c>
      <c r="Z10" s="74" t="n"/>
      <c r="AA10" s="360">
        <f>Y10+Z10</f>
        <v/>
      </c>
      <c r="AB10" s="72" t="n">
        <v>1</v>
      </c>
      <c r="AC10" s="72" t="n"/>
    </row>
    <row r="11" ht="44.25" customHeight="1">
      <c r="A11" s="3" t="n">
        <v>3</v>
      </c>
      <c r="B11" s="1" t="inlineStr">
        <is>
          <t xml:space="preserve">Офіс Генерального прокурора
 від 13.03.2026
   № 08/1-1964-24 </t>
        </is>
      </c>
      <c r="C11" s="1" t="inlineStr">
        <is>
          <t>16.03.2026
 № 2658/27-26</t>
        </is>
      </c>
      <c r="D11" s="12" t="inlineStr">
        <is>
          <t>17.07.2026
№ 94/61.1-25-26/61.1</t>
        </is>
      </c>
      <c r="E11" s="64" t="n">
        <v>1</v>
      </c>
      <c r="F11" s="65" t="n">
        <v>1</v>
      </c>
      <c r="G11" s="75" t="n"/>
      <c r="H11" s="75" t="n"/>
      <c r="I11" s="71" t="n"/>
      <c r="J11" s="71" t="n"/>
      <c r="K11" s="71" t="n"/>
      <c r="L11" s="71" t="n">
        <v>3</v>
      </c>
      <c r="M11" s="71" t="n"/>
      <c r="N11" s="76" t="n"/>
      <c r="O11" s="77" t="n">
        <v>3</v>
      </c>
      <c r="P11" s="79" t="n"/>
      <c r="Q11" s="79" t="n"/>
      <c r="R11" s="80" t="n"/>
      <c r="S11" s="80" t="n"/>
      <c r="T11" s="80" t="n"/>
      <c r="U11" s="80" t="n"/>
      <c r="V11" s="71" t="n"/>
      <c r="W11" s="78" t="n"/>
      <c r="X11" s="73" t="n">
        <v>3</v>
      </c>
      <c r="Y11" s="74" t="n">
        <v>3</v>
      </c>
      <c r="Z11" s="74" t="n"/>
      <c r="AA11" s="360">
        <f>Y11+Z11</f>
        <v/>
      </c>
      <c r="AB11" s="72" t="n">
        <v>3</v>
      </c>
      <c r="AC11" s="72" t="n"/>
    </row>
    <row r="12" ht="55.5" customHeight="1">
      <c r="A12" s="39" t="n">
        <v>4</v>
      </c>
      <c r="B12" s="1" t="inlineStr">
        <is>
          <t>Київська обласна прокуратура  
від 20.03.2026
 №31/2-3618 Вих-26</t>
        </is>
      </c>
      <c r="C12" s="1" t="inlineStr">
        <is>
          <t>20.03.2026
 № 2912/27-26</t>
        </is>
      </c>
      <c r="D12" s="12" t="inlineStr">
        <is>
          <t xml:space="preserve">03.07.2026
№ 63/61.1-25-26/61.1 </t>
        </is>
      </c>
      <c r="E12" s="64" t="n">
        <v>1</v>
      </c>
      <c r="F12" s="65" t="n">
        <v>1</v>
      </c>
      <c r="G12" s="75" t="n"/>
      <c r="H12" s="75" t="n"/>
      <c r="I12" s="71" t="n"/>
      <c r="J12" s="71" t="n">
        <v>2</v>
      </c>
      <c r="K12" s="71" t="n">
        <v>8</v>
      </c>
      <c r="L12" s="71" t="n">
        <v>2</v>
      </c>
      <c r="M12" s="71" t="n"/>
      <c r="N12" s="76" t="n"/>
      <c r="O12" s="77" t="n">
        <v>3</v>
      </c>
      <c r="P12" s="75" t="n"/>
      <c r="Q12" s="75" t="n"/>
      <c r="R12" s="71" t="n"/>
      <c r="S12" s="71" t="n"/>
      <c r="T12" s="71" t="n"/>
      <c r="U12" s="71" t="n"/>
      <c r="V12" s="71" t="n"/>
      <c r="W12" s="81" t="n"/>
      <c r="X12" s="73" t="n">
        <v>3</v>
      </c>
      <c r="Y12" s="74" t="n">
        <v>3</v>
      </c>
      <c r="Z12" s="74" t="n"/>
      <c r="AA12" s="360">
        <f>Y12+Z12</f>
        <v/>
      </c>
      <c r="AB12" s="72" t="n"/>
      <c r="AC12" s="72" t="n">
        <v>3</v>
      </c>
    </row>
    <row r="13" ht="45" customHeight="1">
      <c r="A13" s="1" t="n">
        <v>5</v>
      </c>
      <c r="B13" s="2" t="inlineStr">
        <is>
          <t>САП
 від 30.04.2026
 № 07/2-3040ВИХ-26</t>
        </is>
      </c>
      <c r="C13" s="1" t="inlineStr">
        <is>
          <t>30.03.2026
 № 4847/27-26</t>
        </is>
      </c>
      <c r="D13" s="82" t="inlineStr">
        <is>
          <t xml:space="preserve">22.06.2026 № 33/61.1-25-26/61.1 </t>
        </is>
      </c>
      <c r="E13" s="64" t="n">
        <v>1</v>
      </c>
      <c r="F13" s="65" t="n">
        <v>1</v>
      </c>
      <c r="G13" s="75" t="n"/>
      <c r="H13" s="75" t="n"/>
      <c r="I13" s="71" t="n"/>
      <c r="J13" s="71" t="n"/>
      <c r="K13" s="71" t="n"/>
      <c r="L13" s="71" t="n"/>
      <c r="M13" s="71" t="n">
        <v>1</v>
      </c>
      <c r="N13" s="76" t="n"/>
      <c r="O13" s="77" t="n">
        <v>1</v>
      </c>
      <c r="P13" s="79" t="n"/>
      <c r="Q13" s="79" t="n"/>
      <c r="R13" s="80" t="n"/>
      <c r="S13" s="80" t="n"/>
      <c r="T13" s="80" t="n"/>
      <c r="U13" s="80" t="n"/>
      <c r="V13" s="71" t="n"/>
      <c r="W13" s="83" t="n"/>
      <c r="X13" s="84" t="n">
        <v>1</v>
      </c>
      <c r="Y13" s="74" t="n">
        <v>1</v>
      </c>
      <c r="Z13" s="74" t="n"/>
      <c r="AA13" s="360">
        <f>Y13+Z13</f>
        <v/>
      </c>
      <c r="AB13" s="72" t="n"/>
      <c r="AC13" s="72" t="n">
        <v>1</v>
      </c>
    </row>
    <row r="14" ht="54.75" customHeight="1">
      <c r="A14" s="1" t="n">
        <v>6</v>
      </c>
      <c r="B14" s="2" t="inlineStr">
        <is>
          <t>Київська міська прокуратура
 від 04.06.2026
 № 31/3-1263ВИХ-26</t>
        </is>
      </c>
      <c r="C14" s="1" t="inlineStr">
        <is>
          <t>04.06.2026
 № 6277/27-26</t>
        </is>
      </c>
      <c r="D14" s="82" t="inlineStr">
        <is>
          <t xml:space="preserve">23.06.2026
 № 36/61.1-25-26/61.1 </t>
        </is>
      </c>
      <c r="E14" s="85" t="n">
        <v>1</v>
      </c>
      <c r="F14" s="86" t="n">
        <v>1</v>
      </c>
      <c r="G14" s="75" t="n"/>
      <c r="H14" s="75" t="n"/>
      <c r="I14" s="71" t="n"/>
      <c r="J14" s="71" t="n"/>
      <c r="K14" s="71" t="n"/>
      <c r="L14" s="71" t="n"/>
      <c r="M14" s="71" t="n"/>
      <c r="N14" s="76" t="n"/>
      <c r="O14" s="77" t="n"/>
      <c r="P14" s="79" t="n">
        <v>1</v>
      </c>
      <c r="Q14" s="79" t="n"/>
      <c r="R14" s="80" t="n"/>
      <c r="S14" s="80" t="n"/>
      <c r="T14" s="80" t="n"/>
      <c r="U14" s="80" t="n"/>
      <c r="V14" s="71" t="n"/>
      <c r="W14" s="78" t="n">
        <v>1</v>
      </c>
      <c r="X14" s="84" t="n">
        <v>1</v>
      </c>
      <c r="Y14" s="74" t="n"/>
      <c r="Z14" s="74" t="n">
        <v>1</v>
      </c>
      <c r="AA14" s="360">
        <f>Y14+Z14</f>
        <v/>
      </c>
      <c r="AB14" s="72" t="n"/>
      <c r="AC14" s="72" t="n">
        <v>1</v>
      </c>
    </row>
    <row r="15" ht="55.5" customHeight="1">
      <c r="A15" s="1" t="n">
        <v>7</v>
      </c>
      <c r="B15" s="2" t="inlineStr">
        <is>
          <t>Київська міська прокуратура
 від 18.06.2026
 № 31/3-1231ВИХ-26</t>
        </is>
      </c>
      <c r="C15" s="1" t="inlineStr">
        <is>
          <t>25.06.2026 
№ 7186/27-26</t>
        </is>
      </c>
      <c r="D15" s="82" t="inlineStr">
        <is>
          <t xml:space="preserve">22.07.2026 
№ 103/61.1-25-26/61.1 </t>
        </is>
      </c>
      <c r="E15" s="85" t="n">
        <v>1</v>
      </c>
      <c r="F15" s="86" t="n">
        <v>3</v>
      </c>
      <c r="G15" s="75" t="n"/>
      <c r="H15" s="75" t="n"/>
      <c r="I15" s="71" t="n"/>
      <c r="J15" s="71" t="n">
        <v>1</v>
      </c>
      <c r="K15" s="71" t="n"/>
      <c r="L15" s="71" t="n"/>
      <c r="M15" s="71" t="n"/>
      <c r="N15" s="76" t="n"/>
      <c r="O15" s="77" t="n">
        <v>1</v>
      </c>
      <c r="P15" s="75" t="n">
        <v>2</v>
      </c>
      <c r="Q15" s="75" t="n"/>
      <c r="R15" s="71" t="n"/>
      <c r="S15" s="71" t="n">
        <v>1</v>
      </c>
      <c r="T15" s="71" t="n">
        <v>2</v>
      </c>
      <c r="U15" s="71" t="n"/>
      <c r="V15" s="71" t="n"/>
      <c r="W15" s="77" t="n">
        <v>5</v>
      </c>
      <c r="X15" s="87" t="n">
        <v>6</v>
      </c>
      <c r="Y15" s="88" t="n">
        <v>1</v>
      </c>
      <c r="Z15" s="88" t="n">
        <v>5</v>
      </c>
      <c r="AA15" s="360">
        <f>Y15+Z15</f>
        <v/>
      </c>
      <c r="AB15" s="72" t="n"/>
      <c r="AC15" s="72" t="n">
        <v>6</v>
      </c>
    </row>
    <row r="16" ht="55.5" customHeight="1">
      <c r="A16" s="3" t="n">
        <v>8</v>
      </c>
      <c r="B16" s="2" t="inlineStr">
        <is>
          <t>Київська міська прокуратура від 
19.06.2026
 № 31/2-1084ВИХ-26</t>
        </is>
      </c>
      <c r="C16" s="1" t="inlineStr">
        <is>
          <t>26.06.2026
 № 7240/27-26</t>
        </is>
      </c>
      <c r="D16" s="25" t="inlineStr">
        <is>
          <t>29.07.2026
№ 114/61.1-25-26/61.1</t>
        </is>
      </c>
      <c r="E16" s="64" t="n">
        <v>1</v>
      </c>
      <c r="F16" s="65" t="n">
        <v>1</v>
      </c>
      <c r="G16" s="75" t="n"/>
      <c r="H16" s="75" t="n"/>
      <c r="I16" s="71" t="n"/>
      <c r="J16" s="71" t="n"/>
      <c r="K16" s="71" t="n"/>
      <c r="L16" s="71" t="n"/>
      <c r="M16" s="71" t="n"/>
      <c r="N16" s="76" t="n"/>
      <c r="O16" s="89" t="n"/>
      <c r="P16" s="75" t="n">
        <v>3</v>
      </c>
      <c r="Q16" s="75" t="n"/>
      <c r="R16" s="71" t="n">
        <v>4</v>
      </c>
      <c r="S16" s="71" t="n">
        <v>3</v>
      </c>
      <c r="T16" s="71" t="n"/>
      <c r="U16" s="71" t="n"/>
      <c r="V16" s="71" t="n"/>
      <c r="W16" s="77" t="n">
        <v>10</v>
      </c>
      <c r="X16" s="87" t="n">
        <v>10</v>
      </c>
      <c r="Y16" s="88" t="n"/>
      <c r="Z16" s="88" t="n">
        <v>10</v>
      </c>
      <c r="AA16" s="360">
        <f>Y16+Z16</f>
        <v/>
      </c>
      <c r="AB16" s="72" t="n">
        <v>3</v>
      </c>
      <c r="AC16" s="72" t="n">
        <v>7</v>
      </c>
    </row>
    <row r="17" ht="48.75" customHeight="1">
      <c r="A17" s="3" t="n">
        <v>9</v>
      </c>
      <c r="B17" s="1" t="inlineStr">
        <is>
          <t>Волинська обласна прокуратура від 26.06.2026
 № 08-1811ВИХ-26</t>
        </is>
      </c>
      <c r="C17" s="1" t="inlineStr">
        <is>
          <t>29.06.2026
 № 7341/27-26</t>
        </is>
      </c>
      <c r="D17" s="25" t="inlineStr">
        <is>
          <t>20.07.2026
№ 95/61.1-25-26/61.1</t>
        </is>
      </c>
      <c r="E17" s="64" t="n">
        <v>1</v>
      </c>
      <c r="F17" s="65" t="n">
        <v>1</v>
      </c>
      <c r="G17" s="66" t="n"/>
      <c r="H17" s="66" t="n"/>
      <c r="I17" s="67" t="n"/>
      <c r="J17" s="67" t="n"/>
      <c r="K17" s="67" t="n"/>
      <c r="L17" s="67" t="n"/>
      <c r="M17" s="71" t="n"/>
      <c r="N17" s="76" t="n"/>
      <c r="O17" s="89" t="n"/>
      <c r="P17" s="75" t="n"/>
      <c r="Q17" s="75" t="n"/>
      <c r="R17" s="71" t="n"/>
      <c r="S17" s="71" t="n"/>
      <c r="T17" s="71" t="n"/>
      <c r="U17" s="71" t="n">
        <v>1</v>
      </c>
      <c r="V17" s="71" t="n"/>
      <c r="W17" s="77" t="n">
        <v>1</v>
      </c>
      <c r="X17" s="87" t="n">
        <v>1</v>
      </c>
      <c r="Y17" s="88" t="n"/>
      <c r="Z17" s="88" t="n">
        <v>1</v>
      </c>
      <c r="AA17" s="360">
        <f>Y17+Z17</f>
        <v/>
      </c>
      <c r="AB17" s="72" t="n"/>
      <c r="AC17" s="72" t="n">
        <v>1</v>
      </c>
    </row>
    <row r="18" ht="55.5" customHeight="1" thickBot="1">
      <c r="A18" s="90" t="n">
        <v>10</v>
      </c>
      <c r="B18" s="4" t="inlineStr">
        <is>
          <t>Одеська обласна апрокуратура
01.07.2026
 № 31/2-1466ВИХ-26</t>
        </is>
      </c>
      <c r="C18" s="4" t="inlineStr">
        <is>
          <t>02.07.2026
 № 1861/31-26</t>
        </is>
      </c>
      <c r="D18" s="91" t="inlineStr">
        <is>
          <t>29.07.2026
№ 115/61.1-25-26/61.1</t>
        </is>
      </c>
      <c r="E18" s="92" t="n">
        <v>1</v>
      </c>
      <c r="F18" s="93" t="n">
        <v>2</v>
      </c>
      <c r="G18" s="94" t="n"/>
      <c r="H18" s="94" t="n"/>
      <c r="I18" s="95" t="n"/>
      <c r="J18" s="95" t="n"/>
      <c r="K18" s="95" t="n"/>
      <c r="L18" s="95" t="n"/>
      <c r="M18" s="95" t="n"/>
      <c r="N18" s="96" t="n"/>
      <c r="O18" s="97" t="n"/>
      <c r="P18" s="94" t="n">
        <v>1</v>
      </c>
      <c r="Q18" s="94" t="n"/>
      <c r="R18" s="98" t="n"/>
      <c r="S18" s="98" t="n"/>
      <c r="T18" s="95" t="n"/>
      <c r="U18" s="95" t="n"/>
      <c r="V18" s="98" t="n">
        <v>1</v>
      </c>
      <c r="W18" s="99" t="n">
        <v>2</v>
      </c>
      <c r="X18" s="100" t="n">
        <v>2</v>
      </c>
      <c r="Y18" s="101" t="n"/>
      <c r="Z18" s="101" t="n">
        <v>2</v>
      </c>
      <c r="AA18" s="366">
        <f>Y18+Z18</f>
        <v/>
      </c>
      <c r="AB18" s="102" t="n"/>
      <c r="AC18" s="102" t="n">
        <v>2</v>
      </c>
      <c r="AD18" s="142" t="n"/>
    </row>
    <row r="19" ht="18.75" customHeight="1">
      <c r="A19" s="478" t="n">
        <v>11</v>
      </c>
      <c r="B19" s="425" t="inlineStr">
        <is>
          <t>Офіс Генерального прокурора
 11.08.2026
   № 31/2/2-81407ВИХ-26</t>
        </is>
      </c>
      <c r="C19" s="479" t="inlineStr">
        <is>
          <t>11.08.2026
 № 8710/27-26</t>
        </is>
      </c>
      <c r="D19" s="103" t="n"/>
      <c r="E19" s="480" t="n">
        <v>1</v>
      </c>
      <c r="F19" s="481" t="n">
        <v>1</v>
      </c>
      <c r="G19" s="104" t="n"/>
      <c r="H19" s="105" t="inlineStr">
        <is>
          <t>75/5</t>
        </is>
      </c>
      <c r="I19" s="106" t="n"/>
      <c r="J19" s="106" t="n"/>
      <c r="K19" s="106" t="n"/>
      <c r="L19" s="106" t="n">
        <v>2</v>
      </c>
      <c r="M19" s="106" t="n"/>
      <c r="N19" s="106" t="n"/>
      <c r="O19" s="107" t="n">
        <v>7</v>
      </c>
      <c r="P19" s="104" t="n"/>
      <c r="Q19" s="106" t="n"/>
      <c r="R19" s="108" t="n"/>
      <c r="S19" s="108" t="n">
        <v>7</v>
      </c>
      <c r="T19" s="106" t="n"/>
      <c r="U19" s="106" t="n"/>
      <c r="V19" s="108" t="n"/>
      <c r="W19" s="109" t="n">
        <v>7</v>
      </c>
      <c r="X19" s="110" t="n">
        <v>14</v>
      </c>
      <c r="Y19" s="111" t="n"/>
      <c r="Z19" s="111" t="n"/>
      <c r="AA19" s="112" t="n"/>
      <c r="AB19" s="113" t="n"/>
      <c r="AC19" s="113" t="n"/>
      <c r="AD19" s="142" t="n"/>
    </row>
    <row r="20" ht="34.5" customHeight="1" thickBot="1">
      <c r="A20" s="454" t="n"/>
      <c r="B20" s="447" t="n"/>
      <c r="C20" s="454" t="n"/>
      <c r="D20" s="114" t="inlineStr">
        <is>
          <t>19.08.2026 № 156/61.1-25-26/61.1</t>
        </is>
      </c>
      <c r="E20" s="455" t="n"/>
      <c r="F20" s="458" t="n"/>
      <c r="G20" s="115" t="n"/>
      <c r="H20" s="116" t="inlineStr">
        <is>
          <t>6/1.</t>
        </is>
      </c>
      <c r="I20" s="117" t="n"/>
      <c r="J20" s="118" t="n"/>
      <c r="K20" s="118" t="n"/>
      <c r="L20" s="117" t="n"/>
      <c r="M20" s="117" t="n"/>
      <c r="N20" s="119" t="n"/>
      <c r="O20" s="120" t="n">
        <v>1</v>
      </c>
      <c r="P20" s="115" t="n"/>
      <c r="Q20" s="121" t="n"/>
      <c r="R20" s="117" t="n"/>
      <c r="S20" s="117" t="n"/>
      <c r="T20" s="117" t="n"/>
      <c r="U20" s="118" t="n"/>
      <c r="V20" s="118" t="n"/>
      <c r="W20" s="122" t="n"/>
      <c r="X20" s="123" t="n">
        <v>1</v>
      </c>
      <c r="Y20" s="124" t="n">
        <v>1</v>
      </c>
      <c r="Z20" s="124" t="n"/>
      <c r="AA20" s="366">
        <f>Y20+Z20</f>
        <v/>
      </c>
      <c r="AB20" s="125" t="n">
        <v>1</v>
      </c>
      <c r="AC20" s="126" t="n"/>
      <c r="AD20" s="142" t="n"/>
    </row>
    <row r="21" ht="43.5" customHeight="1">
      <c r="A21" s="108" t="n">
        <v>12</v>
      </c>
      <c r="B21" s="5" t="inlineStr">
        <is>
          <t>Вінницька обласна прокуратура 
 12.08.2026
 № 10-725ВИХ-26</t>
        </is>
      </c>
      <c r="C21" s="5" t="inlineStr">
        <is>
          <t>13.08.2026
 № 8771/27-26</t>
        </is>
      </c>
      <c r="D21" s="127" t="n"/>
      <c r="E21" s="128" t="n">
        <v>1</v>
      </c>
      <c r="F21" s="129" t="n">
        <v>5</v>
      </c>
      <c r="G21" s="130" t="n"/>
      <c r="H21" s="131" t="n">
        <v>1</v>
      </c>
      <c r="I21" s="131" t="inlineStr">
        <is>
          <t>10/6.</t>
        </is>
      </c>
      <c r="J21" s="132" t="n"/>
      <c r="K21" s="132" t="n"/>
      <c r="L21" s="131" t="n"/>
      <c r="M21" s="131" t="n"/>
      <c r="N21" s="131" t="n"/>
      <c r="O21" s="133" t="n">
        <v>7</v>
      </c>
      <c r="P21" s="130" t="n"/>
      <c r="Q21" s="131" t="n">
        <v>2</v>
      </c>
      <c r="R21" s="131" t="n"/>
      <c r="S21" s="131" t="n"/>
      <c r="T21" s="131" t="n"/>
      <c r="U21" s="132" t="n"/>
      <c r="V21" s="132" t="n">
        <v>1</v>
      </c>
      <c r="W21" s="133" t="n">
        <v>3</v>
      </c>
      <c r="X21" s="134" t="n">
        <v>10</v>
      </c>
      <c r="Y21" s="135" t="n"/>
      <c r="Z21" s="135" t="n"/>
      <c r="AA21" s="112" t="n"/>
      <c r="AB21" s="136" t="n"/>
      <c r="AC21" s="136" t="n"/>
      <c r="AD21" s="142" t="n"/>
    </row>
    <row r="22" ht="44.25" customHeight="1">
      <c r="A22" s="71" t="n">
        <v>13</v>
      </c>
      <c r="B22" s="1" t="inlineStr">
        <is>
          <t>Вінницька обласна прокуратура 
 20.08.2026
 № 10-735ВИХ-26</t>
        </is>
      </c>
      <c r="C22" s="1" t="inlineStr">
        <is>
          <t>21.08.2026
 № 9047/27-26</t>
        </is>
      </c>
      <c r="D22" s="25" t="n"/>
      <c r="E22" s="137" t="n">
        <v>1</v>
      </c>
      <c r="F22" s="138" t="n">
        <v>3</v>
      </c>
      <c r="G22" s="139" t="n"/>
      <c r="H22" s="71" t="n"/>
      <c r="I22" s="71" t="n">
        <v>2</v>
      </c>
      <c r="J22" s="71" t="n"/>
      <c r="K22" s="71" t="n"/>
      <c r="L22" s="71" t="n"/>
      <c r="M22" s="71" t="n"/>
      <c r="N22" s="71" t="n"/>
      <c r="O22" s="83" t="n">
        <v>2</v>
      </c>
      <c r="P22" s="75" t="n"/>
      <c r="Q22" s="71" t="n"/>
      <c r="R22" s="71" t="n"/>
      <c r="S22" s="71" t="n"/>
      <c r="T22" s="71" t="n">
        <v>1</v>
      </c>
      <c r="U22" s="71" t="n"/>
      <c r="V22" s="71" t="n">
        <v>2</v>
      </c>
      <c r="W22" s="140" t="n">
        <v>3</v>
      </c>
      <c r="X22" s="84" t="n">
        <v>5</v>
      </c>
      <c r="Y22" s="74" t="n"/>
      <c r="Z22" s="74" t="n"/>
      <c r="AA22" s="360" t="n"/>
      <c r="AB22" s="141" t="n"/>
      <c r="AC22" s="141" t="n"/>
      <c r="AD22" s="142" t="n"/>
    </row>
  </sheetData>
  <mergeCells count="49">
    <mergeCell ref="A6:C8"/>
    <mergeCell ref="A2:A4"/>
    <mergeCell ref="AB2:AC3"/>
    <mergeCell ref="N3:N4"/>
    <mergeCell ref="R7:R8"/>
    <mergeCell ref="G7:G8"/>
    <mergeCell ref="P3:V3"/>
    <mergeCell ref="AC6:AC8"/>
    <mergeCell ref="I7:I8"/>
    <mergeCell ref="G2:W2"/>
    <mergeCell ref="E19:E20"/>
    <mergeCell ref="M7:M8"/>
    <mergeCell ref="S7:S8"/>
    <mergeCell ref="U7:U8"/>
    <mergeCell ref="AB6:AB8"/>
    <mergeCell ref="A1:AC1"/>
    <mergeCell ref="Y6:Y8"/>
    <mergeCell ref="Z6:Z8"/>
    <mergeCell ref="H7:H8"/>
    <mergeCell ref="X2:X4"/>
    <mergeCell ref="G6:N6"/>
    <mergeCell ref="J7:J8"/>
    <mergeCell ref="P7:P8"/>
    <mergeCell ref="W3:W4"/>
    <mergeCell ref="O6:O8"/>
    <mergeCell ref="D6:D8"/>
    <mergeCell ref="B19:B20"/>
    <mergeCell ref="F6:F8"/>
    <mergeCell ref="W6:W8"/>
    <mergeCell ref="Y2:AA3"/>
    <mergeCell ref="T7:T8"/>
    <mergeCell ref="V7:V8"/>
    <mergeCell ref="K7:K8"/>
    <mergeCell ref="AA6:AA8"/>
    <mergeCell ref="P6:V6"/>
    <mergeCell ref="D2:D4"/>
    <mergeCell ref="A19:A20"/>
    <mergeCell ref="Q7:Q8"/>
    <mergeCell ref="E6:E8"/>
    <mergeCell ref="C19:C20"/>
    <mergeCell ref="X6:X8"/>
    <mergeCell ref="F19:F20"/>
    <mergeCell ref="B2:C3"/>
    <mergeCell ref="G3:M3"/>
    <mergeCell ref="O3:O4"/>
    <mergeCell ref="F2:F4"/>
    <mergeCell ref="L7:L8"/>
    <mergeCell ref="N7:N8"/>
    <mergeCell ref="E2:E4"/>
  </mergeCells>
  <pageMargins left="0.1181102362204725" right="0.1181102362204725" top="0.1968503937007874" bottom="0.1968503937007874" header="0.1968503937007874" footer="0.1968503937007874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Yurii O. Botvinko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2026-10-11T11:19:29Z</dcterms:modified>
  <cp:lastModifiedBy>user164</cp:lastModifiedBy>
  <cp:lastPrinted>2026-08-26T10:18:40Z</cp:lastPrinted>
</cp:coreProperties>
</file>